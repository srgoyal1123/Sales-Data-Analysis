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rohan\Downloads\"/>
    </mc:Choice>
  </mc:AlternateContent>
  <xr:revisionPtr revIDLastSave="0" documentId="8_{D45A1BB5-F253-41CA-AE7B-E7193C59FCA9}" xr6:coauthVersionLast="47" xr6:coauthVersionMax="47" xr10:uidLastSave="{00000000-0000-0000-0000-000000000000}"/>
  <bookViews>
    <workbookView xWindow="-108" yWindow="-108" windowWidth="23256" windowHeight="12456" activeTab="3" xr2:uid="{90FA576D-7446-4E40-A509-5B749EE6F4D1}"/>
  </bookViews>
  <sheets>
    <sheet name="pivot 1" sheetId="2" r:id="rId1"/>
    <sheet name="pivot3" sheetId="4" r:id="rId2"/>
    <sheet name="pivot 2" sheetId="5" r:id="rId3"/>
    <sheet name="sales_data " sheetId="1" r:id="rId4"/>
    <sheet name="Sales Dashboard " sheetId="6" r:id="rId5"/>
    <sheet name="Dashboard " sheetId="7" r:id="rId6"/>
  </sheets>
  <definedNames>
    <definedName name="Slicer_Product">#N/A</definedName>
    <definedName name="Slicer_Product1">#N/A</definedName>
    <definedName name="Slicer_Region">#N/A</definedName>
    <definedName name="Slicer_Region1">#N/A</definedName>
    <definedName name="Slicer_Salesperson">#N/A</definedName>
  </definedNames>
  <calcPr calcId="191029"/>
  <pivotCaches>
    <pivotCache cacheId="2"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 i="7" l="1"/>
  <c r="C2" i="7"/>
  <c r="C4" i="7"/>
  <c r="L10" i="1"/>
  <c r="L9" i="1"/>
  <c r="L8" i="1"/>
  <c r="C3" i="7"/>
  <c r="P18" i="1"/>
  <c r="P17" i="1"/>
  <c r="P16" i="1"/>
  <c r="D2" i="7"/>
  <c r="P15" i="1"/>
  <c r="C5" i="7"/>
  <c r="B2" i="7"/>
  <c r="A2" i="7"/>
  <c r="I4" i="1"/>
  <c r="I5" i="1"/>
  <c r="I6" i="1"/>
  <c r="I7" i="1"/>
  <c r="I8" i="1"/>
  <c r="I9" i="1"/>
  <c r="I10" i="1"/>
  <c r="I11" i="1"/>
  <c r="I12" i="1"/>
  <c r="I13" i="1"/>
  <c r="I14" i="1"/>
  <c r="I15" i="1"/>
  <c r="I16" i="1"/>
  <c r="I17" i="1"/>
  <c r="I18" i="1"/>
  <c r="I19" i="1"/>
  <c r="I20" i="1"/>
  <c r="I21" i="1"/>
  <c r="I3" i="1"/>
  <c r="I2" i="1"/>
  <c r="H23" i="6"/>
  <c r="H22" i="6"/>
  <c r="H21" i="6"/>
  <c r="H20" i="6"/>
  <c r="H19" i="6"/>
  <c r="H18" i="6"/>
  <c r="H17" i="6"/>
  <c r="H16" i="6"/>
  <c r="H15" i="6"/>
  <c r="H14" i="6"/>
  <c r="H13" i="6"/>
  <c r="H12" i="6"/>
  <c r="H11" i="6"/>
  <c r="H10" i="6"/>
  <c r="H9" i="6"/>
  <c r="H8" i="6"/>
  <c r="H7" i="6"/>
  <c r="H6" i="6"/>
  <c r="H5" i="6"/>
  <c r="H4" i="6"/>
  <c r="H3" i="6"/>
  <c r="H2" i="6"/>
  <c r="H23" i="1"/>
  <c r="H22" i="1"/>
  <c r="H4" i="1"/>
  <c r="H5" i="1"/>
  <c r="H6" i="1"/>
  <c r="H7" i="1"/>
  <c r="H8" i="1"/>
  <c r="H9" i="1"/>
  <c r="H10" i="1"/>
  <c r="H11" i="1"/>
  <c r="H12" i="1"/>
  <c r="H13" i="1"/>
  <c r="H14" i="1"/>
  <c r="H15" i="1"/>
  <c r="H16" i="1"/>
  <c r="H17" i="1"/>
  <c r="H18" i="1"/>
  <c r="H19" i="1"/>
  <c r="H20" i="1"/>
  <c r="H21" i="1"/>
  <c r="H2" i="1"/>
  <c r="H3" i="1"/>
</calcChain>
</file>

<file path=xl/sharedStrings.xml><?xml version="1.0" encoding="utf-8"?>
<sst xmlns="http://schemas.openxmlformats.org/spreadsheetml/2006/main" count="186" uniqueCount="52">
  <si>
    <t xml:space="preserve">Order ID </t>
  </si>
  <si>
    <t xml:space="preserve">Order Date </t>
  </si>
  <si>
    <t>Region</t>
  </si>
  <si>
    <t xml:space="preserve">Salesperson </t>
  </si>
  <si>
    <t xml:space="preserve">Product </t>
  </si>
  <si>
    <t xml:space="preserve">Quantity </t>
  </si>
  <si>
    <t xml:space="preserve">Unit Price </t>
  </si>
  <si>
    <t xml:space="preserve">Total Sales </t>
  </si>
  <si>
    <t>North</t>
  </si>
  <si>
    <t>South</t>
  </si>
  <si>
    <t>East</t>
  </si>
  <si>
    <t>West</t>
  </si>
  <si>
    <t xml:space="preserve">North </t>
  </si>
  <si>
    <t xml:space="preserve">South </t>
  </si>
  <si>
    <t xml:space="preserve">East </t>
  </si>
  <si>
    <t xml:space="preserve">West </t>
  </si>
  <si>
    <t xml:space="preserve">Aman </t>
  </si>
  <si>
    <t>Riya</t>
  </si>
  <si>
    <t xml:space="preserve">Karan </t>
  </si>
  <si>
    <t xml:space="preserve">Neha </t>
  </si>
  <si>
    <t>Laptop</t>
  </si>
  <si>
    <t xml:space="preserve">Phone </t>
  </si>
  <si>
    <t>Tablet</t>
  </si>
  <si>
    <t>Total Revenue -</t>
  </si>
  <si>
    <t>Average-</t>
  </si>
  <si>
    <t>Row Labels</t>
  </si>
  <si>
    <t>Grand Total</t>
  </si>
  <si>
    <t xml:space="preserve">Sum of Total Sales </t>
  </si>
  <si>
    <t>Sale Category</t>
  </si>
  <si>
    <t>Total Orders</t>
  </si>
  <si>
    <t xml:space="preserve">Top Region </t>
  </si>
  <si>
    <t>Top Salesperson</t>
  </si>
  <si>
    <t>Best Selling Product</t>
  </si>
  <si>
    <t>neha</t>
  </si>
  <si>
    <t>riya</t>
  </si>
  <si>
    <t>karan</t>
  </si>
  <si>
    <t>aman</t>
  </si>
  <si>
    <t>laptop</t>
  </si>
  <si>
    <t>phone</t>
  </si>
  <si>
    <t>tablet</t>
  </si>
  <si>
    <t xml:space="preserve"> </t>
  </si>
  <si>
    <t>Max- 373000</t>
  </si>
  <si>
    <t>Top - North</t>
  </si>
  <si>
    <t>Max- 522000</t>
  </si>
  <si>
    <t>Top - Neha</t>
  </si>
  <si>
    <t>Max - 608000</t>
  </si>
  <si>
    <t xml:space="preserve">Best - Laptop </t>
  </si>
  <si>
    <t xml:space="preserve">a-  order id </t>
  </si>
  <si>
    <t>b- salesperson</t>
  </si>
  <si>
    <t xml:space="preserve">c- region </t>
  </si>
  <si>
    <t>d- product</t>
  </si>
  <si>
    <t xml:space="preserve">e -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</si>
</sst>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3" fillId="2" borderId="1" xfId="0" applyFont="1" applyFill="1" applyBorder="1" applyAlignment="1">
      <alignment horizontal="center"/>
    </xf>
    <xf numFmtId="0" fontId="2" fillId="0" borderId="1" xfId="0" applyFont="1" applyBorder="1" applyAlignment="1">
      <alignment horizontal="center"/>
    </xf>
    <xf numFmtId="14" fontId="2" fillId="0" borderId="1" xfId="0" applyNumberFormat="1" applyFont="1" applyBorder="1" applyAlignment="1">
      <alignment horizontal="center"/>
    </xf>
    <xf numFmtId="0" fontId="3" fillId="0" borderId="1" xfId="0" applyFont="1" applyBorder="1" applyAlignment="1">
      <alignment horizontal="center"/>
    </xf>
    <xf numFmtId="0" fontId="1" fillId="2" borderId="1" xfId="0" applyFont="1" applyFill="1" applyBorder="1"/>
    <xf numFmtId="0" fontId="2" fillId="0" borderId="1" xfId="0" applyFont="1" applyBorder="1"/>
    <xf numFmtId="0" fontId="0" fillId="0" borderId="1" xfId="0" applyBorder="1"/>
    <xf numFmtId="0" fontId="3" fillId="3" borderId="1" xfId="0" applyFont="1" applyFill="1" applyBorder="1" applyAlignment="1">
      <alignment horizontal="center" vertical="center"/>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Analysis.xlsx]pivot 1!PivotTable1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1'!$A$4:$A$5</c:f>
              <c:strCache>
                <c:ptCount val="1"/>
                <c:pt idx="0">
                  <c:v>South </c:v>
                </c:pt>
              </c:strCache>
            </c:strRef>
          </c:cat>
          <c:val>
            <c:numRef>
              <c:f>'pivot 1'!$B$4:$B$5</c:f>
              <c:numCache>
                <c:formatCode>General</c:formatCode>
                <c:ptCount val="1"/>
                <c:pt idx="0">
                  <c:v>84000</c:v>
                </c:pt>
              </c:numCache>
            </c:numRef>
          </c:val>
          <c:extLst>
            <c:ext xmlns:c16="http://schemas.microsoft.com/office/drawing/2014/chart" uri="{C3380CC4-5D6E-409C-BE32-E72D297353CC}">
              <c16:uniqueId val="{00000000-E683-4EAD-9E54-E5515753EE45}"/>
            </c:ext>
          </c:extLst>
        </c:ser>
        <c:dLbls>
          <c:dLblPos val="outEnd"/>
          <c:showLegendKey val="0"/>
          <c:showVal val="1"/>
          <c:showCatName val="0"/>
          <c:showSerName val="0"/>
          <c:showPercent val="0"/>
          <c:showBubbleSize val="0"/>
        </c:dLbls>
        <c:gapWidth val="219"/>
        <c:overlap val="-27"/>
        <c:axId val="1494283744"/>
        <c:axId val="1494277024"/>
      </c:barChart>
      <c:catAx>
        <c:axId val="149428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77024"/>
        <c:crosses val="autoZero"/>
        <c:auto val="1"/>
        <c:lblAlgn val="ctr"/>
        <c:lblOffset val="100"/>
        <c:noMultiLvlLbl val="0"/>
      </c:catAx>
      <c:valAx>
        <c:axId val="149427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8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Analysis.xlsx]pivot3!PivotTable3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pivot3!$A$4:$A$7</c:f>
              <c:strCache>
                <c:ptCount val="3"/>
                <c:pt idx="0">
                  <c:v>Laptop</c:v>
                </c:pt>
                <c:pt idx="1">
                  <c:v>Phone </c:v>
                </c:pt>
                <c:pt idx="2">
                  <c:v>Tablet</c:v>
                </c:pt>
              </c:strCache>
            </c:strRef>
          </c:cat>
          <c:val>
            <c:numRef>
              <c:f>pivot3!$B$4:$B$7</c:f>
              <c:numCache>
                <c:formatCode>General</c:formatCode>
                <c:ptCount val="3"/>
                <c:pt idx="0">
                  <c:v>608000</c:v>
                </c:pt>
                <c:pt idx="1">
                  <c:v>602500</c:v>
                </c:pt>
                <c:pt idx="2">
                  <c:v>331500</c:v>
                </c:pt>
              </c:numCache>
            </c:numRef>
          </c:val>
          <c:extLst>
            <c:ext xmlns:c16="http://schemas.microsoft.com/office/drawing/2014/chart" uri="{C3380CC4-5D6E-409C-BE32-E72D297353CC}">
              <c16:uniqueId val="{00000000-AA2B-41BF-AF27-A10ADF8A16A5}"/>
            </c:ext>
          </c:extLst>
        </c:ser>
        <c:dLbls>
          <c:dLblPos val="outEnd"/>
          <c:showLegendKey val="0"/>
          <c:showVal val="1"/>
          <c:showCatName val="0"/>
          <c:showSerName val="0"/>
          <c:showPercent val="0"/>
          <c:showBubbleSize val="0"/>
        </c:dLbls>
        <c:gapWidth val="219"/>
        <c:overlap val="-27"/>
        <c:axId val="1392989456"/>
        <c:axId val="1392987536"/>
      </c:barChart>
      <c:catAx>
        <c:axId val="139298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87536"/>
        <c:crosses val="autoZero"/>
        <c:auto val="1"/>
        <c:lblAlgn val="ctr"/>
        <c:lblOffset val="100"/>
        <c:noMultiLvlLbl val="0"/>
      </c:catAx>
      <c:valAx>
        <c:axId val="139298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8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Analysis.xlsx]pivot 2!PivotTable5</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2'!$B$4:$B$8</c:f>
              <c:strCache>
                <c:ptCount val="4"/>
                <c:pt idx="0">
                  <c:v>Aman </c:v>
                </c:pt>
                <c:pt idx="1">
                  <c:v>Karan </c:v>
                </c:pt>
                <c:pt idx="2">
                  <c:v>Neha </c:v>
                </c:pt>
                <c:pt idx="3">
                  <c:v>Riya</c:v>
                </c:pt>
              </c:strCache>
            </c:strRef>
          </c:cat>
          <c:val>
            <c:numRef>
              <c:f>'pivot 2'!$C$4:$C$8</c:f>
              <c:numCache>
                <c:formatCode>General</c:formatCode>
                <c:ptCount val="4"/>
                <c:pt idx="0">
                  <c:v>522000</c:v>
                </c:pt>
                <c:pt idx="1">
                  <c:v>341000</c:v>
                </c:pt>
                <c:pt idx="2">
                  <c:v>357500</c:v>
                </c:pt>
                <c:pt idx="3">
                  <c:v>321500</c:v>
                </c:pt>
              </c:numCache>
            </c:numRef>
          </c:val>
          <c:extLst>
            <c:ext xmlns:c16="http://schemas.microsoft.com/office/drawing/2014/chart" uri="{C3380CC4-5D6E-409C-BE32-E72D297353CC}">
              <c16:uniqueId val="{00000000-6CC4-4C1F-9DDF-6DB33B45D312}"/>
            </c:ext>
          </c:extLst>
        </c:ser>
        <c:dLbls>
          <c:dLblPos val="outEnd"/>
          <c:showLegendKey val="0"/>
          <c:showVal val="1"/>
          <c:showCatName val="0"/>
          <c:showSerName val="0"/>
          <c:showPercent val="0"/>
          <c:showBubbleSize val="0"/>
        </c:dLbls>
        <c:gapWidth val="219"/>
        <c:overlap val="-27"/>
        <c:axId val="1392981296"/>
        <c:axId val="1393006736"/>
      </c:barChart>
      <c:catAx>
        <c:axId val="139298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6736"/>
        <c:crosses val="autoZero"/>
        <c:auto val="1"/>
        <c:lblAlgn val="ctr"/>
        <c:lblOffset val="100"/>
        <c:noMultiLvlLbl val="0"/>
      </c:catAx>
      <c:valAx>
        <c:axId val="139300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8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Analysis.xlsx]Sales Dashboard !PivotTable9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'!$L$3</c:f>
              <c:strCache>
                <c:ptCount val="1"/>
                <c:pt idx="0">
                  <c:v>Total</c:v>
                </c:pt>
              </c:strCache>
            </c:strRef>
          </c:tx>
          <c:spPr>
            <a:solidFill>
              <a:schemeClr val="accent1"/>
            </a:solidFill>
            <a:ln>
              <a:noFill/>
            </a:ln>
            <a:effectLst/>
          </c:spPr>
          <c:invertIfNegative val="0"/>
          <c:cat>
            <c:strRef>
              <c:f>'Sales Dashboard '!$K$4:$K$5</c:f>
              <c:strCache>
                <c:ptCount val="1"/>
                <c:pt idx="0">
                  <c:v>West </c:v>
                </c:pt>
              </c:strCache>
            </c:strRef>
          </c:cat>
          <c:val>
            <c:numRef>
              <c:f>'Sales Dashboard '!$L$4:$L$5</c:f>
              <c:numCache>
                <c:formatCode>General</c:formatCode>
                <c:ptCount val="1"/>
                <c:pt idx="0">
                  <c:v>100000</c:v>
                </c:pt>
              </c:numCache>
            </c:numRef>
          </c:val>
          <c:extLst>
            <c:ext xmlns:c16="http://schemas.microsoft.com/office/drawing/2014/chart" uri="{C3380CC4-5D6E-409C-BE32-E72D297353CC}">
              <c16:uniqueId val="{00000000-54DF-4781-A28F-A9B89A69C106}"/>
            </c:ext>
          </c:extLst>
        </c:ser>
        <c:dLbls>
          <c:showLegendKey val="0"/>
          <c:showVal val="0"/>
          <c:showCatName val="0"/>
          <c:showSerName val="0"/>
          <c:showPercent val="0"/>
          <c:showBubbleSize val="0"/>
        </c:dLbls>
        <c:gapWidth val="219"/>
        <c:overlap val="-27"/>
        <c:axId val="1487536384"/>
        <c:axId val="1487520064"/>
      </c:barChart>
      <c:catAx>
        <c:axId val="148753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20064"/>
        <c:crosses val="autoZero"/>
        <c:auto val="1"/>
        <c:lblAlgn val="ctr"/>
        <c:lblOffset val="100"/>
        <c:noMultiLvlLbl val="0"/>
      </c:catAx>
      <c:valAx>
        <c:axId val="148752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3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 '!$C$2:$C$5</c:f>
              <c:numCache>
                <c:formatCode>General</c:formatCode>
                <c:ptCount val="4"/>
                <c:pt idx="0">
                  <c:v>373000</c:v>
                </c:pt>
                <c:pt idx="1">
                  <c:v>237500</c:v>
                </c:pt>
                <c:pt idx="2">
                  <c:v>150000</c:v>
                </c:pt>
                <c:pt idx="3">
                  <c:v>239000</c:v>
                </c:pt>
              </c:numCache>
            </c:numRef>
          </c:val>
          <c:extLst>
            <c:ext xmlns:c16="http://schemas.microsoft.com/office/drawing/2014/chart" uri="{C3380CC4-5D6E-409C-BE32-E72D297353CC}">
              <c16:uniqueId val="{00000000-EB34-4962-8F06-58DC43188CD9}"/>
            </c:ext>
          </c:extLst>
        </c:ser>
        <c:dLbls>
          <c:dLblPos val="outEnd"/>
          <c:showLegendKey val="0"/>
          <c:showVal val="1"/>
          <c:showCatName val="0"/>
          <c:showSerName val="0"/>
          <c:showPercent val="0"/>
          <c:showBubbleSize val="0"/>
        </c:dLbls>
        <c:gapWidth val="219"/>
        <c:overlap val="-27"/>
        <c:axId val="1487538784"/>
        <c:axId val="1487539264"/>
      </c:barChart>
      <c:catAx>
        <c:axId val="14875387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39264"/>
        <c:crosses val="autoZero"/>
        <c:auto val="1"/>
        <c:lblAlgn val="ctr"/>
        <c:lblOffset val="100"/>
        <c:noMultiLvlLbl val="0"/>
      </c:catAx>
      <c:valAx>
        <c:axId val="148753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3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Salesperson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 '!$D$2:$D$5</c:f>
              <c:numCache>
                <c:formatCode>General</c:formatCode>
                <c:ptCount val="4"/>
                <c:pt idx="0">
                  <c:v>357500</c:v>
                </c:pt>
                <c:pt idx="1">
                  <c:v>321500</c:v>
                </c:pt>
                <c:pt idx="2">
                  <c:v>341000</c:v>
                </c:pt>
                <c:pt idx="3">
                  <c:v>522000</c:v>
                </c:pt>
              </c:numCache>
            </c:numRef>
          </c:val>
          <c:extLst>
            <c:ext xmlns:c16="http://schemas.microsoft.com/office/drawing/2014/chart" uri="{C3380CC4-5D6E-409C-BE32-E72D297353CC}">
              <c16:uniqueId val="{00000000-5CF1-4C45-A402-1C91A43BC555}"/>
            </c:ext>
          </c:extLst>
        </c:ser>
        <c:dLbls>
          <c:dLblPos val="outEnd"/>
          <c:showLegendKey val="0"/>
          <c:showVal val="1"/>
          <c:showCatName val="0"/>
          <c:showSerName val="0"/>
          <c:showPercent val="0"/>
          <c:showBubbleSize val="0"/>
        </c:dLbls>
        <c:gapWidth val="182"/>
        <c:axId val="1487575264"/>
        <c:axId val="1487571424"/>
      </c:barChart>
      <c:catAx>
        <c:axId val="1487575264"/>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71424"/>
        <c:crosses val="autoZero"/>
        <c:auto val="1"/>
        <c:lblAlgn val="ctr"/>
        <c:lblOffset val="100"/>
        <c:noMultiLvlLbl val="0"/>
      </c:catAx>
      <c:valAx>
        <c:axId val="1487571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7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Best selling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503805774278215"/>
          <c:y val="0.20016638935108155"/>
          <c:w val="0.77829527559055123"/>
          <c:h val="0.6656224752272023"/>
        </c:manualLayout>
      </c:layout>
      <c:barChart>
        <c:barDir val="col"/>
        <c:grouping val="clustered"/>
        <c:varyColors val="0"/>
        <c:ser>
          <c:idx val="0"/>
          <c:order val="0"/>
          <c:spPr>
            <a:solidFill>
              <a:schemeClr val="accent1"/>
            </a:solidFill>
            <a:ln>
              <a:noFill/>
            </a:ln>
            <a:effectLst/>
          </c:spPr>
          <c:invertIfNegative val="0"/>
          <c:val>
            <c:numRef>
              <c:f>'Dashboard '!$E$2:$E$4</c:f>
              <c:numCache>
                <c:formatCode>General</c:formatCode>
                <c:ptCount val="3"/>
                <c:pt idx="0">
                  <c:v>608000</c:v>
                </c:pt>
                <c:pt idx="1">
                  <c:v>602500</c:v>
                </c:pt>
                <c:pt idx="2">
                  <c:v>331500</c:v>
                </c:pt>
              </c:numCache>
            </c:numRef>
          </c:val>
          <c:extLst>
            <c:ext xmlns:c16="http://schemas.microsoft.com/office/drawing/2014/chart" uri="{C3380CC4-5D6E-409C-BE32-E72D297353CC}">
              <c16:uniqueId val="{00000000-80A6-4237-9626-6A4A332CC0AC}"/>
            </c:ext>
          </c:extLst>
        </c:ser>
        <c:dLbls>
          <c:showLegendKey val="0"/>
          <c:showVal val="0"/>
          <c:showCatName val="0"/>
          <c:showSerName val="0"/>
          <c:showPercent val="0"/>
          <c:showBubbleSize val="0"/>
        </c:dLbls>
        <c:gapWidth val="219"/>
        <c:overlap val="-27"/>
        <c:axId val="1487556064"/>
        <c:axId val="1487562304"/>
      </c:barChart>
      <c:catAx>
        <c:axId val="14875560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62304"/>
        <c:crosses val="autoZero"/>
        <c:auto val="1"/>
        <c:lblAlgn val="ctr"/>
        <c:lblOffset val="100"/>
        <c:noMultiLvlLbl val="0"/>
      </c:catAx>
      <c:valAx>
        <c:axId val="148756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5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11</xdr:col>
      <xdr:colOff>594360</xdr:colOff>
      <xdr:row>20</xdr:row>
      <xdr:rowOff>22860</xdr:rowOff>
    </xdr:to>
    <xdr:graphicFrame macro="">
      <xdr:nvGraphicFramePr>
        <xdr:cNvPr id="4" name="Chart 3">
          <a:extLst>
            <a:ext uri="{FF2B5EF4-FFF2-40B4-BE49-F238E27FC236}">
              <a16:creationId xmlns:a16="http://schemas.microsoft.com/office/drawing/2014/main" id="{05DC8FBC-4FB1-0833-1115-6A7D2712C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350520</xdr:colOff>
      <xdr:row>10</xdr:row>
      <xdr:rowOff>68580</xdr:rowOff>
    </xdr:from>
    <xdr:to>
      <xdr:col>19</xdr:col>
      <xdr:colOff>350520</xdr:colOff>
      <xdr:row>23</xdr:row>
      <xdr:rowOff>158115</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EF1CB36C-23A8-5C62-84AA-06D8B649BDB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04220" y="1897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304800</xdr:colOff>
      <xdr:row>6</xdr:row>
      <xdr:rowOff>76200</xdr:rowOff>
    </xdr:from>
    <xdr:to>
      <xdr:col>15</xdr:col>
      <xdr:colOff>304800</xdr:colOff>
      <xdr:row>19</xdr:row>
      <xdr:rowOff>165735</xdr:rowOff>
    </xdr:to>
    <mc:AlternateContent xmlns:mc="http://schemas.openxmlformats.org/markup-compatibility/2006" xmlns:a14="http://schemas.microsoft.com/office/drawing/2010/main">
      <mc:Choice Requires="a14">
        <xdr:graphicFrame macro="">
          <xdr:nvGraphicFramePr>
            <xdr:cNvPr id="6" name="Product  1">
              <a:extLst>
                <a:ext uri="{FF2B5EF4-FFF2-40B4-BE49-F238E27FC236}">
                  <a16:creationId xmlns:a16="http://schemas.microsoft.com/office/drawing/2014/main" id="{6E16C550-445E-EE9B-4DCE-907380EECA4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420100" y="1173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2</xdr:row>
      <xdr:rowOff>30480</xdr:rowOff>
    </xdr:from>
    <xdr:to>
      <xdr:col>12</xdr:col>
      <xdr:colOff>403860</xdr:colOff>
      <xdr:row>19</xdr:row>
      <xdr:rowOff>76200</xdr:rowOff>
    </xdr:to>
    <xdr:graphicFrame macro="">
      <xdr:nvGraphicFramePr>
        <xdr:cNvPr id="2" name="Chart 1">
          <a:extLst>
            <a:ext uri="{FF2B5EF4-FFF2-40B4-BE49-F238E27FC236}">
              <a16:creationId xmlns:a16="http://schemas.microsoft.com/office/drawing/2014/main" id="{D5A9C01E-E1E4-D036-A8E6-01B7CDD37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419100</xdr:colOff>
      <xdr:row>1</xdr:row>
      <xdr:rowOff>152400</xdr:rowOff>
    </xdr:from>
    <xdr:to>
      <xdr:col>13</xdr:col>
      <xdr:colOff>327660</xdr:colOff>
      <xdr:row>16</xdr:row>
      <xdr:rowOff>152400</xdr:rowOff>
    </xdr:to>
    <xdr:graphicFrame macro="">
      <xdr:nvGraphicFramePr>
        <xdr:cNvPr id="2" name="Chart 1">
          <a:extLst>
            <a:ext uri="{FF2B5EF4-FFF2-40B4-BE49-F238E27FC236}">
              <a16:creationId xmlns:a16="http://schemas.microsoft.com/office/drawing/2014/main" id="{E78AC41F-CF7C-DE93-7325-CAE93033B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289560</xdr:colOff>
      <xdr:row>13</xdr:row>
      <xdr:rowOff>114300</xdr:rowOff>
    </xdr:from>
    <xdr:to>
      <xdr:col>12</xdr:col>
      <xdr:colOff>160020</xdr:colOff>
      <xdr:row>27</xdr:row>
      <xdr:rowOff>26670</xdr:rowOff>
    </xdr:to>
    <xdr:graphicFrame macro="">
      <xdr:nvGraphicFramePr>
        <xdr:cNvPr id="6" name="Chart 5">
          <a:extLst>
            <a:ext uri="{FF2B5EF4-FFF2-40B4-BE49-F238E27FC236}">
              <a16:creationId xmlns:a16="http://schemas.microsoft.com/office/drawing/2014/main" id="{49AEB8EF-D09B-E216-8424-A1C6F2DE1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982980</xdr:colOff>
      <xdr:row>24</xdr:row>
      <xdr:rowOff>53340</xdr:rowOff>
    </xdr:from>
    <xdr:to>
      <xdr:col>7</xdr:col>
      <xdr:colOff>617220</xdr:colOff>
      <xdr:row>37</xdr:row>
      <xdr:rowOff>142875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C817B96-677B-17D8-4870-D959CC622F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69380" y="4792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403860</xdr:colOff>
      <xdr:row>24</xdr:row>
      <xdr:rowOff>30480</xdr:rowOff>
    </xdr:from>
    <xdr:to>
      <xdr:col>5</xdr:col>
      <xdr:colOff>38100</xdr:colOff>
      <xdr:row>37</xdr:row>
      <xdr:rowOff>120015</xdr:rowOff>
    </xdr:to>
    <mc:AlternateContent xmlns:mc="http://schemas.openxmlformats.org/markup-compatibility/2006" xmlns:a14="http://schemas.microsoft.com/office/drawing/2010/main">
      <mc:Choice Requires="a14">
        <xdr:graphicFrame macro="">
          <xdr:nvGraphicFramePr>
            <xdr:cNvPr id="8" name="Salesperson ">
              <a:extLst>
                <a:ext uri="{FF2B5EF4-FFF2-40B4-BE49-F238E27FC236}">
                  <a16:creationId xmlns:a16="http://schemas.microsoft.com/office/drawing/2014/main" id="{F23FE872-A317-F1AD-F986-A978C86472CB}"/>
                </a:ext>
              </a:extLst>
            </xdr:cNvPr>
            <xdr:cNvGraphicFramePr/>
          </xdr:nvGraphicFramePr>
          <xdr:xfrm>
            <a:off x="0" y="0"/>
            <a:ext cx="0" cy="0"/>
          </xdr:xfrm>
          <a:graphic>
            <a:graphicData uri="http://schemas.microsoft.com/office/drawing/2010/slicer">
              <sle:slicer xmlns:sle="http://schemas.microsoft.com/office/drawing/2010/slicer" name="Salesperson "/>
            </a:graphicData>
          </a:graphic>
        </xdr:graphicFrame>
      </mc:Choice>
      <mc:Fallback xmlns="">
        <xdr:sp macro="" textlink="">
          <xdr:nvSpPr>
            <xdr:cNvPr id="0" name=""/>
            <xdr:cNvSpPr>
              <a:spLocks noTextEdit="1"/>
            </xdr:cNvSpPr>
          </xdr:nvSpPr>
          <xdr:spPr>
            <a:xfrm>
              <a:off x="3695700" y="4770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815340</xdr:colOff>
      <xdr:row>24</xdr:row>
      <xdr:rowOff>7620</xdr:rowOff>
    </xdr:from>
    <xdr:to>
      <xdr:col>2</xdr:col>
      <xdr:colOff>449580</xdr:colOff>
      <xdr:row>37</xdr:row>
      <xdr:rowOff>97155</xdr:rowOff>
    </xdr:to>
    <mc:AlternateContent xmlns:mc="http://schemas.openxmlformats.org/markup-compatibility/2006" xmlns:a14="http://schemas.microsoft.com/office/drawing/2010/main">
      <mc:Choice Requires="a14">
        <xdr:graphicFrame macro="">
          <xdr:nvGraphicFramePr>
            <xdr:cNvPr id="9" name="Product ">
              <a:extLst>
                <a:ext uri="{FF2B5EF4-FFF2-40B4-BE49-F238E27FC236}">
                  <a16:creationId xmlns:a16="http://schemas.microsoft.com/office/drawing/2014/main" id="{ECD26CE3-74B9-C494-A4FD-0CB195D0AD66}"/>
                </a:ext>
              </a:extLst>
            </xdr:cNvPr>
            <xdr:cNvGraphicFramePr/>
          </xdr:nvGraphicFramePr>
          <xdr:xfrm>
            <a:off x="0" y="0"/>
            <a:ext cx="0" cy="0"/>
          </xdr:xfrm>
          <a:graphic>
            <a:graphicData uri="http://schemas.microsoft.com/office/drawing/2010/slicer">
              <sle:slicer xmlns:sle="http://schemas.microsoft.com/office/drawing/2010/slicer" name="Product "/>
            </a:graphicData>
          </a:graphic>
        </xdr:graphicFrame>
      </mc:Choice>
      <mc:Fallback xmlns="">
        <xdr:sp macro="" textlink="">
          <xdr:nvSpPr>
            <xdr:cNvPr id="0" name=""/>
            <xdr:cNvSpPr>
              <a:spLocks noTextEdit="1"/>
            </xdr:cNvSpPr>
          </xdr:nvSpPr>
          <xdr:spPr>
            <a:xfrm>
              <a:off x="815340" y="4747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243840</xdr:colOff>
      <xdr:row>8</xdr:row>
      <xdr:rowOff>22860</xdr:rowOff>
    </xdr:from>
    <xdr:to>
      <xdr:col>2</xdr:col>
      <xdr:colOff>1028700</xdr:colOff>
      <xdr:row>15</xdr:row>
      <xdr:rowOff>72390</xdr:rowOff>
    </xdr:to>
    <xdr:graphicFrame macro="">
      <xdr:nvGraphicFramePr>
        <xdr:cNvPr id="2" name="Chart 1">
          <a:extLst>
            <a:ext uri="{FF2B5EF4-FFF2-40B4-BE49-F238E27FC236}">
              <a16:creationId xmlns:a16="http://schemas.microsoft.com/office/drawing/2014/main" id="{B443459E-E4BE-13C8-0F72-9D57452FE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693420</xdr:colOff>
      <xdr:row>8</xdr:row>
      <xdr:rowOff>0</xdr:rowOff>
    </xdr:from>
    <xdr:to>
      <xdr:col>6</xdr:col>
      <xdr:colOff>411480</xdr:colOff>
      <xdr:row>15</xdr:row>
      <xdr:rowOff>45720</xdr:rowOff>
    </xdr:to>
    <xdr:graphicFrame macro="">
      <xdr:nvGraphicFramePr>
        <xdr:cNvPr id="3" name="Chart 2">
          <a:extLst>
            <a:ext uri="{FF2B5EF4-FFF2-40B4-BE49-F238E27FC236}">
              <a16:creationId xmlns:a16="http://schemas.microsoft.com/office/drawing/2014/main" id="{2D9B45EE-FCA9-2070-667B-1938DD780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1089660</xdr:colOff>
      <xdr:row>8</xdr:row>
      <xdr:rowOff>0</xdr:rowOff>
    </xdr:from>
    <xdr:to>
      <xdr:col>9</xdr:col>
      <xdr:colOff>670560</xdr:colOff>
      <xdr:row>15</xdr:row>
      <xdr:rowOff>15240</xdr:rowOff>
    </xdr:to>
    <xdr:graphicFrame macro="">
      <xdr:nvGraphicFramePr>
        <xdr:cNvPr id="4" name="Chart 3">
          <a:extLst>
            <a:ext uri="{FF2B5EF4-FFF2-40B4-BE49-F238E27FC236}">
              <a16:creationId xmlns:a16="http://schemas.microsoft.com/office/drawing/2014/main" id="{9E81734A-ECC0-504D-0D4C-0966368F6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548640</xdr:colOff>
      <xdr:row>16</xdr:row>
      <xdr:rowOff>137160</xdr:rowOff>
    </xdr:from>
    <xdr:to>
      <xdr:col>9</xdr:col>
      <xdr:colOff>152400</xdr:colOff>
      <xdr:row>29</xdr:row>
      <xdr:rowOff>135255</xdr:rowOff>
    </xdr:to>
    <mc:AlternateContent xmlns:mc="http://schemas.openxmlformats.org/markup-compatibility/2006" xmlns:a14="http://schemas.microsoft.com/office/drawing/2010/main">
      <mc:Choice Requires="a14">
        <xdr:graphicFrame macro="">
          <xdr:nvGraphicFramePr>
            <xdr:cNvPr id="7" name="Product  2">
              <a:extLst>
                <a:ext uri="{FF2B5EF4-FFF2-40B4-BE49-F238E27FC236}">
                  <a16:creationId xmlns:a16="http://schemas.microsoft.com/office/drawing/2014/main" id="{0266BCE6-AF81-4B69-930B-137318DCE84F}"/>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8572500" y="4526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906780</xdr:colOff>
      <xdr:row>16</xdr:row>
      <xdr:rowOff>106681</xdr:rowOff>
    </xdr:from>
    <xdr:to>
      <xdr:col>2</xdr:col>
      <xdr:colOff>510540</xdr:colOff>
      <xdr:row>30</xdr:row>
      <xdr:rowOff>30480</xdr:rowOff>
    </xdr:to>
    <mc:AlternateContent xmlns:mc="http://schemas.openxmlformats.org/markup-compatibility/2006" xmlns:a14="http://schemas.microsoft.com/office/drawing/2010/main">
      <mc:Choice Requires="a14">
        <xdr:graphicFrame macro="">
          <xdr:nvGraphicFramePr>
            <xdr:cNvPr id="9" name="Region 2">
              <a:extLst>
                <a:ext uri="{FF2B5EF4-FFF2-40B4-BE49-F238E27FC236}">
                  <a16:creationId xmlns:a16="http://schemas.microsoft.com/office/drawing/2014/main" id="{C3164103-F631-4407-BA26-79CB86B3B60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06780" y="4495801"/>
              <a:ext cx="1828800" cy="2575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goyal" refreshedDate="46066.723359374999" createdVersion="8" refreshedVersion="8" minRefreshableVersion="3" recordCount="20" xr:uid="{3A49F95F-51E3-45F3-904D-65B3126F16FA}">
  <cacheSource type="worksheet">
    <worksheetSource ref="A1:H21" sheet="sales_data "/>
  </cacheSource>
  <cacheFields count="8">
    <cacheField name="Order ID " numFmtId="0">
      <sharedItems containsSemiMixedTypes="0" containsString="0" containsNumber="1" containsInteger="1" minValue="1001" maxValue="1020"/>
    </cacheField>
    <cacheField name="Order Date " numFmtId="14">
      <sharedItems containsSemiMixedTypes="0" containsNonDate="0" containsDate="1" containsString="0" minDate="2026-02-01T00:00:00" maxDate="2026-02-12T00:00:00"/>
    </cacheField>
    <cacheField name="Region" numFmtId="0">
      <sharedItems count="8">
        <s v="North"/>
        <s v="South"/>
        <s v="East"/>
        <s v="West"/>
        <s v="North "/>
        <s v="South "/>
        <s v="East "/>
        <s v="West "/>
      </sharedItems>
    </cacheField>
    <cacheField name="Salesperson " numFmtId="0">
      <sharedItems count="4">
        <s v="Aman "/>
        <s v="Riya"/>
        <s v="Karan "/>
        <s v="Neha "/>
      </sharedItems>
    </cacheField>
    <cacheField name="Product " numFmtId="0">
      <sharedItems count="3">
        <s v="Laptop"/>
        <s v="Phone "/>
        <s v="Tablet"/>
      </sharedItems>
    </cacheField>
    <cacheField name="Quantity " numFmtId="0">
      <sharedItems containsSemiMixedTypes="0" containsString="0" containsNumber="1" containsInteger="1" minValue="1" maxValue="6"/>
    </cacheField>
    <cacheField name="Unit Price " numFmtId="0">
      <sharedItems containsSemiMixedTypes="0" containsString="0" containsNumber="1" containsInteger="1" minValue="13000" maxValue="54000"/>
    </cacheField>
    <cacheField name="Total Sales " numFmtId="0">
      <sharedItems containsSemiMixedTypes="0" containsString="0" containsNumber="1" containsInteger="1" minValue="32000" maxValue="147000"/>
    </cacheField>
  </cacheFields>
  <extLst>
    <ext xmlns:x14="http://schemas.microsoft.com/office/spreadsheetml/2009/9/main" uri="{725AE2AE-9491-48be-B2B4-4EB974FC3084}">
      <x14:pivotCacheDefinition pivotCacheId="20538091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d v="2026-02-01T00:00:00"/>
    <x v="0"/>
    <x v="0"/>
    <x v="0"/>
    <n v="2"/>
    <n v="50000"/>
    <n v="100000"/>
  </r>
  <r>
    <n v="1002"/>
    <d v="2026-02-02T00:00:00"/>
    <x v="1"/>
    <x v="1"/>
    <x v="1"/>
    <n v="5"/>
    <n v="20000"/>
    <n v="100000"/>
  </r>
  <r>
    <n v="1003"/>
    <d v="2026-02-02T00:00:00"/>
    <x v="2"/>
    <x v="2"/>
    <x v="2"/>
    <n v="3"/>
    <n v="15000"/>
    <n v="45000"/>
  </r>
  <r>
    <n v="1004"/>
    <d v="2026-02-03T00:00:00"/>
    <x v="3"/>
    <x v="3"/>
    <x v="0"/>
    <n v="1"/>
    <n v="52000"/>
    <n v="52000"/>
  </r>
  <r>
    <n v="1005"/>
    <d v="2026-02-03T00:00:00"/>
    <x v="4"/>
    <x v="0"/>
    <x v="1"/>
    <n v="4"/>
    <n v="21000"/>
    <n v="84000"/>
  </r>
  <r>
    <n v="1006"/>
    <d v="2026-02-04T00:00:00"/>
    <x v="5"/>
    <x v="1"/>
    <x v="2"/>
    <n v="6"/>
    <n v="14000"/>
    <n v="84000"/>
  </r>
  <r>
    <n v="1007"/>
    <d v="2026-02-05T00:00:00"/>
    <x v="6"/>
    <x v="2"/>
    <x v="0"/>
    <n v="2"/>
    <n v="51000"/>
    <n v="102000"/>
  </r>
  <r>
    <n v="1008"/>
    <d v="2026-02-05T00:00:00"/>
    <x v="3"/>
    <x v="3"/>
    <x v="1"/>
    <n v="3"/>
    <n v="22000"/>
    <n v="66000"/>
  </r>
  <r>
    <n v="1009"/>
    <d v="2026-02-06T00:00:00"/>
    <x v="4"/>
    <x v="0"/>
    <x v="2"/>
    <n v="5"/>
    <n v="13000"/>
    <n v="65000"/>
  </r>
  <r>
    <n v="1010"/>
    <d v="2026-02-06T00:00:00"/>
    <x v="1"/>
    <x v="1"/>
    <x v="0"/>
    <n v="1"/>
    <n v="53000"/>
    <n v="53000"/>
  </r>
  <r>
    <n v="1011"/>
    <d v="2026-02-07T00:00:00"/>
    <x v="2"/>
    <x v="2"/>
    <x v="1"/>
    <n v="4"/>
    <n v="19500"/>
    <n v="78000"/>
  </r>
  <r>
    <n v="1012"/>
    <d v="2026-02-07T00:00:00"/>
    <x v="3"/>
    <x v="3"/>
    <x v="2"/>
    <n v="2"/>
    <n v="16000"/>
    <n v="32000"/>
  </r>
  <r>
    <n v="1013"/>
    <d v="2026-02-08T00:00:00"/>
    <x v="0"/>
    <x v="0"/>
    <x v="0"/>
    <n v="3"/>
    <n v="49000"/>
    <n v="147000"/>
  </r>
  <r>
    <n v="1014"/>
    <d v="2026-02-08T00:00:00"/>
    <x v="1"/>
    <x v="1"/>
    <x v="1"/>
    <n v="2"/>
    <n v="20500"/>
    <n v="41000"/>
  </r>
  <r>
    <n v="1015"/>
    <d v="2026-02-09T00:00:00"/>
    <x v="2"/>
    <x v="2"/>
    <x v="2"/>
    <n v="4"/>
    <n v="15500"/>
    <n v="62000"/>
  </r>
  <r>
    <n v="1016"/>
    <d v="2026-02-09T00:00:00"/>
    <x v="7"/>
    <x v="3"/>
    <x v="0"/>
    <n v="2"/>
    <n v="50000"/>
    <n v="100000"/>
  </r>
  <r>
    <n v="1017"/>
    <d v="2026-02-10T00:00:00"/>
    <x v="0"/>
    <x v="0"/>
    <x v="1"/>
    <n v="6"/>
    <n v="21000"/>
    <n v="126000"/>
  </r>
  <r>
    <n v="1018"/>
    <d v="2026-02-10T00:00:00"/>
    <x v="1"/>
    <x v="1"/>
    <x v="2"/>
    <n v="3"/>
    <n v="14500"/>
    <n v="43500"/>
  </r>
  <r>
    <n v="1019"/>
    <d v="2026-02-11T00:00:00"/>
    <x v="2"/>
    <x v="2"/>
    <x v="0"/>
    <n v="1"/>
    <n v="54000"/>
    <n v="54000"/>
  </r>
  <r>
    <n v="1020"/>
    <d v="2026-02-11T00:00:00"/>
    <x v="7"/>
    <x v="3"/>
    <x v="1"/>
    <n v="5"/>
    <n v="21500"/>
    <n v="10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24BB74-1CFA-49AC-8205-79C375E815D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8">
    <pivotField showAll="0"/>
    <pivotField numFmtId="14" showAll="0"/>
    <pivotField axis="axisRow" showAll="0">
      <items count="9">
        <item h="1" x="2"/>
        <item h="1" x="6"/>
        <item h="1" x="0"/>
        <item h="1" x="4"/>
        <item h="1" x="1"/>
        <item x="5"/>
        <item h="1" x="3"/>
        <item h="1" x="7"/>
        <item t="default"/>
      </items>
    </pivotField>
    <pivotField showAll="0"/>
    <pivotField showAll="0">
      <items count="4">
        <item x="0"/>
        <item x="1"/>
        <item x="2"/>
        <item t="default"/>
      </items>
    </pivotField>
    <pivotField showAll="0"/>
    <pivotField showAll="0"/>
    <pivotField dataField="1" showAll="0"/>
  </pivotFields>
  <rowFields count="1">
    <field x="2"/>
  </rowFields>
  <rowItems count="2">
    <i>
      <x v="5"/>
    </i>
    <i t="grand">
      <x/>
    </i>
  </rowItems>
  <colItems count="1">
    <i/>
  </colItems>
  <dataFields count="1">
    <dataField name="Sum of Total Sales " fld="7"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FA717B-9ACC-4C4B-B00D-7E8916B3805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8">
    <pivotField showAll="0"/>
    <pivotField numFmtId="14" showAll="0"/>
    <pivotField showAll="0"/>
    <pivotField showAll="0"/>
    <pivotField axis="axisRow" showAll="0">
      <items count="4">
        <item x="0"/>
        <item x="1"/>
        <item x="2"/>
        <item t="default"/>
      </items>
    </pivotField>
    <pivotField showAll="0"/>
    <pivotField showAll="0"/>
    <pivotField dataField="1" showAll="0"/>
  </pivotFields>
  <rowFields count="1">
    <field x="4"/>
  </rowFields>
  <rowItems count="4">
    <i>
      <x/>
    </i>
    <i>
      <x v="1"/>
    </i>
    <i>
      <x v="2"/>
    </i>
    <i t="grand">
      <x/>
    </i>
  </rowItems>
  <colItems count="1">
    <i/>
  </colItems>
  <dataFields count="1">
    <dataField name="Sum of Total Sales " fld="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D46BE7-9426-43CC-84E1-BFE973D12A3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3:C8" firstHeaderRow="1" firstDataRow="1" firstDataCol="1"/>
  <pivotFields count="8">
    <pivotField showAll="0"/>
    <pivotField numFmtId="14" showAll="0"/>
    <pivotField showAll="0"/>
    <pivotField axis="axisRow" showAll="0">
      <items count="5">
        <item x="0"/>
        <item x="2"/>
        <item x="3"/>
        <item x="1"/>
        <item t="default"/>
      </items>
    </pivotField>
    <pivotField showAll="0"/>
    <pivotField showAll="0"/>
    <pivotField showAll="0"/>
    <pivotField dataField="1" showAll="0"/>
  </pivotFields>
  <rowFields count="1">
    <field x="3"/>
  </rowFields>
  <rowItems count="5">
    <i>
      <x/>
    </i>
    <i>
      <x v="1"/>
    </i>
    <i>
      <x v="2"/>
    </i>
    <i>
      <x v="3"/>
    </i>
    <i t="grand">
      <x/>
    </i>
  </rowItems>
  <colItems count="1">
    <i/>
  </colItems>
  <dataFields count="1">
    <dataField name="Sum of Total Sales " fld="7" baseField="0" baseItem="0"/>
  </dataFields>
  <chartFormats count="8">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CD3F47-13F1-4FF9-9417-E74497F30F2D}"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L5" firstHeaderRow="1" firstDataRow="1" firstDataCol="1"/>
  <pivotFields count="8">
    <pivotField showAll="0"/>
    <pivotField numFmtId="14" showAll="0"/>
    <pivotField axis="axisRow" showAll="0">
      <items count="9">
        <item h="1" x="2"/>
        <item h="1" x="6"/>
        <item h="1" x="0"/>
        <item h="1" x="4"/>
        <item h="1" x="1"/>
        <item h="1" x="5"/>
        <item h="1" x="3"/>
        <item x="7"/>
        <item t="default"/>
      </items>
    </pivotField>
    <pivotField showAll="0">
      <items count="5">
        <item h="1" x="0"/>
        <item h="1" x="2"/>
        <item x="3"/>
        <item h="1" x="1"/>
        <item t="default"/>
      </items>
    </pivotField>
    <pivotField showAll="0">
      <items count="4">
        <item x="0"/>
        <item h="1" x="1"/>
        <item h="1" x="2"/>
        <item t="default"/>
      </items>
    </pivotField>
    <pivotField showAll="0"/>
    <pivotField showAll="0"/>
    <pivotField dataField="1" showAll="0"/>
  </pivotFields>
  <rowFields count="1">
    <field x="2"/>
  </rowFields>
  <rowItems count="2">
    <i>
      <x v="7"/>
    </i>
    <i t="grand">
      <x/>
    </i>
  </rowItems>
  <colItems count="1">
    <i/>
  </colItems>
  <dataFields count="1">
    <dataField name="Sum of Total Sales " fld="7" baseField="0" baseItem="0"/>
  </dataFields>
  <chartFormats count="2">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3CD479-FA6D-4E8E-90E3-ACAB2D4F22AE}" sourceName="Region">
  <pivotTables>
    <pivotTable tabId="6" name="PivotTable9"/>
  </pivotTables>
  <data>
    <tabular pivotCacheId="2053809186">
      <items count="8">
        <i x="3"/>
        <i x="7" s="1"/>
        <i x="2" nd="1"/>
        <i x="6" nd="1"/>
        <i x="0" nd="1"/>
        <i x="4" nd="1"/>
        <i x="1"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0CE63A7-5123-4D5C-8936-4CAC268D6767}" sourceName="Salesperson ">
  <pivotTables>
    <pivotTable tabId="6" name="PivotTable9"/>
  </pivotTables>
  <data>
    <tabular pivotCacheId="2053809186">
      <items count="4">
        <i x="3" s="1"/>
        <i x="0" nd="1"/>
        <i x="2"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E3966B1-AC66-4D8F-B06A-E612391CF6D6}" sourceName="Product ">
  <pivotTables>
    <pivotTable tabId="6" name="PivotTable9"/>
  </pivotTables>
  <data>
    <tabular pivotCacheId="2053809186">
      <items count="3">
        <i x="0" s="1"/>
        <i x="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AE11F36-542C-4278-AE8F-AF1D21B32F2D}" sourceName="Region">
  <pivotTables>
    <pivotTable tabId="2" name="PivotTable1"/>
  </pivotTables>
  <data>
    <tabular pivotCacheId="2053809186">
      <items count="8">
        <i x="2"/>
        <i x="6"/>
        <i x="0"/>
        <i x="4"/>
        <i x="1"/>
        <i x="5" s="1"/>
        <i x="3"/>
        <i x="7"/>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D55CA93B-8B01-4B6F-9883-9437D764C220}" sourceName="Product ">
  <pivotTables>
    <pivotTable tabId="2" name="PivotTable1"/>
  </pivotTables>
  <data>
    <tabular pivotCacheId="2053809186">
      <items count="3">
        <i x="2" s="1"/>
        <i x="0"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38D30F6-0829-4F53-8084-75B2ED773C10}" cache="Slicer_Region1" caption="Region" rowHeight="234950"/>
  <slicer name="Product  1" xr10:uid="{D6660442-B717-42B2-B2C5-BB5C89156286}" cache="Slicer_Product1" caption="Product "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9CBB1AB-1A18-46DB-AE13-AAC1EAA2DF7B}" cache="Slicer_Region" caption="Region" rowHeight="234950"/>
  <slicer name="Salesperson " xr10:uid="{170A9F5F-6EFE-4B06-B39A-1E3D722D19A9}" cache="Slicer_Salesperson" caption="Salesperson " rowHeight="234950"/>
  <slicer name="Product " xr10:uid="{C55EBB49-3C65-4DEF-A22D-274AB3903E25}" cache="Slicer_Product" caption="Product "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1D517D21-85A9-4B8A-AF75-EC2F6478A57A}" cache="Slicer_Region1" caption="Region" rowHeight="234950"/>
  <slicer name="Product  2" xr10:uid="{6CCFC3A7-AD32-4404-8F66-7896378FA8D4}" cache="Slicer_Product1" caption="Product "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B06DE-96E1-49DB-BEE5-3FD1E5CDB724}">
  <dimension ref="A3:B5"/>
  <sheetViews>
    <sheetView workbookViewId="0">
      <selection activeCell="B6" sqref="B6"/>
    </sheetView>
  </sheetViews>
  <sheetFormatPr defaultRowHeight="14.4" x14ac:dyDescent="0.3"/>
  <cols>
    <col min="1" max="1" width="12.5546875" bestFit="1" customWidth="1"/>
    <col min="2" max="2" width="16.88671875" bestFit="1" customWidth="1"/>
  </cols>
  <sheetData>
    <row r="3" spans="1:2" x14ac:dyDescent="0.3">
      <c r="A3" s="1" t="s">
        <v>25</v>
      </c>
      <c r="B3" t="s">
        <v>27</v>
      </c>
    </row>
    <row r="4" spans="1:2" x14ac:dyDescent="0.3">
      <c r="A4" s="2" t="s">
        <v>13</v>
      </c>
      <c r="B4">
        <v>84000</v>
      </c>
    </row>
    <row r="5" spans="1:2" x14ac:dyDescent="0.3">
      <c r="A5" s="2" t="s">
        <v>26</v>
      </c>
      <c r="B5">
        <v>84000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F897E-1D30-48F5-9210-9EF007EF89DE}">
  <dimension ref="A3:B7"/>
  <sheetViews>
    <sheetView workbookViewId="0">
      <selection activeCell="O19" sqref="O19"/>
    </sheetView>
  </sheetViews>
  <sheetFormatPr defaultRowHeight="14.4" x14ac:dyDescent="0.3"/>
  <cols>
    <col min="1" max="1" width="12.5546875" bestFit="1" customWidth="1"/>
    <col min="2" max="2" width="16.88671875" bestFit="1" customWidth="1"/>
  </cols>
  <sheetData>
    <row r="3" spans="1:2" x14ac:dyDescent="0.3">
      <c r="A3" s="1" t="s">
        <v>25</v>
      </c>
      <c r="B3" t="s">
        <v>27</v>
      </c>
    </row>
    <row r="4" spans="1:2" x14ac:dyDescent="0.3">
      <c r="A4" s="2" t="s">
        <v>20</v>
      </c>
      <c r="B4">
        <v>608000</v>
      </c>
    </row>
    <row r="5" spans="1:2" x14ac:dyDescent="0.3">
      <c r="A5" s="2" t="s">
        <v>21</v>
      </c>
      <c r="B5">
        <v>602500</v>
      </c>
    </row>
    <row r="6" spans="1:2" x14ac:dyDescent="0.3">
      <c r="A6" s="2" t="s">
        <v>22</v>
      </c>
      <c r="B6">
        <v>331500</v>
      </c>
    </row>
    <row r="7" spans="1:2" x14ac:dyDescent="0.3">
      <c r="A7" s="2" t="s">
        <v>26</v>
      </c>
      <c r="B7">
        <v>1542000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90597-9ECD-4938-AD1E-B580D63E6338}">
  <dimension ref="B3:C8"/>
  <sheetViews>
    <sheetView workbookViewId="0">
      <selection activeCell="L23" sqref="L23"/>
    </sheetView>
  </sheetViews>
  <sheetFormatPr defaultRowHeight="14.4" x14ac:dyDescent="0.3"/>
  <cols>
    <col min="2" max="2" width="13.77734375" customWidth="1"/>
    <col min="3" max="3" width="17.5546875" customWidth="1"/>
  </cols>
  <sheetData>
    <row r="3" spans="2:3" x14ac:dyDescent="0.3">
      <c r="B3" s="1" t="s">
        <v>25</v>
      </c>
      <c r="C3" t="s">
        <v>27</v>
      </c>
    </row>
    <row r="4" spans="2:3" x14ac:dyDescent="0.3">
      <c r="B4" s="2" t="s">
        <v>16</v>
      </c>
      <c r="C4">
        <v>522000</v>
      </c>
    </row>
    <row r="5" spans="2:3" x14ac:dyDescent="0.3">
      <c r="B5" s="2" t="s">
        <v>18</v>
      </c>
      <c r="C5">
        <v>341000</v>
      </c>
    </row>
    <row r="6" spans="2:3" x14ac:dyDescent="0.3">
      <c r="B6" s="2" t="s">
        <v>19</v>
      </c>
      <c r="C6">
        <v>357500</v>
      </c>
    </row>
    <row r="7" spans="2:3" x14ac:dyDescent="0.3">
      <c r="B7" s="2" t="s">
        <v>17</v>
      </c>
      <c r="C7">
        <v>321500</v>
      </c>
    </row>
    <row r="8" spans="2:3" x14ac:dyDescent="0.3">
      <c r="B8" s="2" t="s">
        <v>26</v>
      </c>
      <c r="C8">
        <v>1542000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B2C03-B12D-4913-85BC-401F3821E4EF}">
  <dimension ref="A1:P25"/>
  <sheetViews>
    <sheetView tabSelected="1" topLeftCell="A4" workbookViewId="0">
      <selection activeCell="L11" sqref="L11"/>
    </sheetView>
  </sheetViews>
  <sheetFormatPr defaultRowHeight="14.4" x14ac:dyDescent="0.3"/>
  <cols>
    <col min="1" max="12" width="12.6640625" customWidth="1"/>
  </cols>
  <sheetData>
    <row r="1" spans="1:16" ht="20.399999999999999" customHeight="1" x14ac:dyDescent="0.3">
      <c r="A1" s="3" t="s">
        <v>0</v>
      </c>
      <c r="B1" s="3" t="s">
        <v>1</v>
      </c>
      <c r="C1" s="3" t="s">
        <v>2</v>
      </c>
      <c r="D1" s="3" t="s">
        <v>3</v>
      </c>
      <c r="E1" s="3" t="s">
        <v>4</v>
      </c>
      <c r="F1" s="3" t="s">
        <v>5</v>
      </c>
      <c r="G1" s="3" t="s">
        <v>6</v>
      </c>
      <c r="H1" s="3" t="s">
        <v>7</v>
      </c>
      <c r="I1" s="7" t="s">
        <v>28</v>
      </c>
    </row>
    <row r="2" spans="1:16" ht="20.399999999999999" customHeight="1" x14ac:dyDescent="0.3">
      <c r="A2" s="4">
        <v>1001</v>
      </c>
      <c r="B2" s="5">
        <v>46054</v>
      </c>
      <c r="C2" s="4" t="s">
        <v>8</v>
      </c>
      <c r="D2" s="4" t="s">
        <v>16</v>
      </c>
      <c r="E2" s="4" t="s">
        <v>20</v>
      </c>
      <c r="F2" s="4">
        <v>2</v>
      </c>
      <c r="G2" s="4">
        <v>50000</v>
      </c>
      <c r="H2" s="4">
        <f>F2*G2</f>
        <v>100000</v>
      </c>
      <c r="I2" s="8" t="str">
        <f>IF(H2&gt;100000,"High",IF(H2&gt;=50000,"Medium","Low"))</f>
        <v>Medium</v>
      </c>
    </row>
    <row r="3" spans="1:16" ht="20.399999999999999" customHeight="1" x14ac:dyDescent="0.3">
      <c r="A3" s="4">
        <v>1002</v>
      </c>
      <c r="B3" s="5">
        <v>46055</v>
      </c>
      <c r="C3" s="4" t="s">
        <v>9</v>
      </c>
      <c r="D3" s="4" t="s">
        <v>17</v>
      </c>
      <c r="E3" s="4" t="s">
        <v>21</v>
      </c>
      <c r="F3" s="4">
        <v>5</v>
      </c>
      <c r="G3" s="4">
        <v>20000</v>
      </c>
      <c r="H3" s="4">
        <f>F3*G3</f>
        <v>100000</v>
      </c>
      <c r="I3" s="8" t="str">
        <f>IF(H3&gt;100000,"High",IF(H3&gt;=50000,"Medium","Low"))</f>
        <v>Medium</v>
      </c>
    </row>
    <row r="4" spans="1:16" ht="20.399999999999999" customHeight="1" x14ac:dyDescent="0.3">
      <c r="A4" s="4">
        <v>1003</v>
      </c>
      <c r="B4" s="5">
        <v>46055</v>
      </c>
      <c r="C4" s="4" t="s">
        <v>10</v>
      </c>
      <c r="D4" s="4" t="s">
        <v>18</v>
      </c>
      <c r="E4" s="4" t="s">
        <v>22</v>
      </c>
      <c r="F4" s="4">
        <v>3</v>
      </c>
      <c r="G4" s="4">
        <v>15000</v>
      </c>
      <c r="H4" s="4">
        <f t="shared" ref="H4:H21" si="0">F4*G4</f>
        <v>45000</v>
      </c>
      <c r="I4" s="8" t="str">
        <f t="shared" ref="I4:I21" si="1">IF(H4&gt;100000,"High",IF(H4&gt;=50000,"Medium","Low"))</f>
        <v>Low</v>
      </c>
    </row>
    <row r="5" spans="1:16" ht="20.399999999999999" customHeight="1" x14ac:dyDescent="0.3">
      <c r="A5" s="4">
        <v>1004</v>
      </c>
      <c r="B5" s="5">
        <v>46056</v>
      </c>
      <c r="C5" s="4" t="s">
        <v>11</v>
      </c>
      <c r="D5" s="4" t="s">
        <v>19</v>
      </c>
      <c r="E5" s="4" t="s">
        <v>20</v>
      </c>
      <c r="F5" s="4">
        <v>1</v>
      </c>
      <c r="G5" s="4">
        <v>52000</v>
      </c>
      <c r="H5" s="4">
        <f t="shared" si="0"/>
        <v>52000</v>
      </c>
      <c r="I5" s="8" t="str">
        <f t="shared" si="1"/>
        <v>Medium</v>
      </c>
    </row>
    <row r="6" spans="1:16" ht="20.399999999999999" customHeight="1" x14ac:dyDescent="0.3">
      <c r="A6" s="4">
        <v>1005</v>
      </c>
      <c r="B6" s="5">
        <v>46056</v>
      </c>
      <c r="C6" s="4" t="s">
        <v>12</v>
      </c>
      <c r="D6" s="4" t="s">
        <v>16</v>
      </c>
      <c r="E6" s="4" t="s">
        <v>21</v>
      </c>
      <c r="F6" s="4">
        <v>4</v>
      </c>
      <c r="G6" s="4">
        <v>21000</v>
      </c>
      <c r="H6" s="4">
        <f t="shared" si="0"/>
        <v>84000</v>
      </c>
      <c r="I6" s="8" t="str">
        <f t="shared" si="1"/>
        <v>Medium</v>
      </c>
    </row>
    <row r="7" spans="1:16" ht="20.399999999999999" customHeight="1" x14ac:dyDescent="0.3">
      <c r="A7" s="4">
        <v>1006</v>
      </c>
      <c r="B7" s="5">
        <v>46057</v>
      </c>
      <c r="C7" s="4" t="s">
        <v>13</v>
      </c>
      <c r="D7" s="4" t="s">
        <v>17</v>
      </c>
      <c r="E7" s="4" t="s">
        <v>22</v>
      </c>
      <c r="F7" s="4">
        <v>6</v>
      </c>
      <c r="G7" s="4">
        <v>14000</v>
      </c>
      <c r="H7" s="4">
        <f t="shared" si="0"/>
        <v>84000</v>
      </c>
      <c r="I7" s="8" t="str">
        <f t="shared" si="1"/>
        <v>Medium</v>
      </c>
    </row>
    <row r="8" spans="1:16" ht="20.399999999999999" customHeight="1" x14ac:dyDescent="0.3">
      <c r="A8" s="4">
        <v>1007</v>
      </c>
      <c r="B8" s="5">
        <v>46058</v>
      </c>
      <c r="C8" s="4" t="s">
        <v>14</v>
      </c>
      <c r="D8" s="4" t="s">
        <v>18</v>
      </c>
      <c r="E8" s="4" t="s">
        <v>20</v>
      </c>
      <c r="F8" s="4">
        <v>2</v>
      </c>
      <c r="G8" s="4">
        <v>51000</v>
      </c>
      <c r="H8" s="4">
        <f t="shared" si="0"/>
        <v>102000</v>
      </c>
      <c r="I8" s="8" t="str">
        <f t="shared" si="1"/>
        <v>High</v>
      </c>
      <c r="K8" t="s">
        <v>37</v>
      </c>
      <c r="L8">
        <f>SUMIFS(H2:H21,E2:E21,"Laptop")</f>
        <v>608000</v>
      </c>
    </row>
    <row r="9" spans="1:16" ht="20.399999999999999" customHeight="1" x14ac:dyDescent="0.3">
      <c r="A9" s="4">
        <v>1008</v>
      </c>
      <c r="B9" s="5">
        <v>46058</v>
      </c>
      <c r="C9" s="4" t="s">
        <v>11</v>
      </c>
      <c r="D9" s="4" t="s">
        <v>19</v>
      </c>
      <c r="E9" s="4" t="s">
        <v>21</v>
      </c>
      <c r="F9" s="4">
        <v>3</v>
      </c>
      <c r="G9" s="4">
        <v>22000</v>
      </c>
      <c r="H9" s="4">
        <f t="shared" si="0"/>
        <v>66000</v>
      </c>
      <c r="I9" s="8" t="str">
        <f t="shared" si="1"/>
        <v>Medium</v>
      </c>
      <c r="K9" t="s">
        <v>38</v>
      </c>
      <c r="L9">
        <f>SUMIFS(H2:H21,E2:E21,"Phone ")</f>
        <v>602500</v>
      </c>
    </row>
    <row r="10" spans="1:16" ht="20.399999999999999" customHeight="1" x14ac:dyDescent="0.3">
      <c r="A10" s="4">
        <v>1009</v>
      </c>
      <c r="B10" s="5">
        <v>46059</v>
      </c>
      <c r="C10" s="4" t="s">
        <v>12</v>
      </c>
      <c r="D10" s="4" t="s">
        <v>16</v>
      </c>
      <c r="E10" s="4" t="s">
        <v>22</v>
      </c>
      <c r="F10" s="4">
        <v>5</v>
      </c>
      <c r="G10" s="4">
        <v>13000</v>
      </c>
      <c r="H10" s="4">
        <f t="shared" si="0"/>
        <v>65000</v>
      </c>
      <c r="I10" s="8" t="str">
        <f t="shared" si="1"/>
        <v>Medium</v>
      </c>
      <c r="K10" t="s">
        <v>39</v>
      </c>
      <c r="L10">
        <f>SUMIFS(H2:H21,E2:E21,"Tablet")</f>
        <v>331500</v>
      </c>
    </row>
    <row r="11" spans="1:16" ht="20.399999999999999" customHeight="1" x14ac:dyDescent="0.3">
      <c r="A11" s="4">
        <v>1010</v>
      </c>
      <c r="B11" s="5">
        <v>46059</v>
      </c>
      <c r="C11" s="4" t="s">
        <v>9</v>
      </c>
      <c r="D11" s="4" t="s">
        <v>17</v>
      </c>
      <c r="E11" s="4" t="s">
        <v>20</v>
      </c>
      <c r="F11" s="4">
        <v>1</v>
      </c>
      <c r="G11" s="4">
        <v>53000</v>
      </c>
      <c r="H11" s="4">
        <f t="shared" si="0"/>
        <v>53000</v>
      </c>
      <c r="I11" s="8" t="str">
        <f t="shared" si="1"/>
        <v>Medium</v>
      </c>
      <c r="L11" t="s">
        <v>40</v>
      </c>
    </row>
    <row r="12" spans="1:16" ht="20.399999999999999" customHeight="1" x14ac:dyDescent="0.3">
      <c r="A12" s="4">
        <v>1011</v>
      </c>
      <c r="B12" s="5">
        <v>46060</v>
      </c>
      <c r="C12" s="4" t="s">
        <v>10</v>
      </c>
      <c r="D12" s="4" t="s">
        <v>18</v>
      </c>
      <c r="E12" s="4" t="s">
        <v>21</v>
      </c>
      <c r="F12" s="4">
        <v>4</v>
      </c>
      <c r="G12" s="4">
        <v>19500</v>
      </c>
      <c r="H12" s="4">
        <f t="shared" si="0"/>
        <v>78000</v>
      </c>
      <c r="I12" s="8" t="str">
        <f t="shared" si="1"/>
        <v>Medium</v>
      </c>
    </row>
    <row r="13" spans="1:16" ht="20.399999999999999" customHeight="1" x14ac:dyDescent="0.3">
      <c r="A13" s="4">
        <v>1012</v>
      </c>
      <c r="B13" s="5">
        <v>46060</v>
      </c>
      <c r="C13" s="4" t="s">
        <v>11</v>
      </c>
      <c r="D13" s="4" t="s">
        <v>19</v>
      </c>
      <c r="E13" s="4" t="s">
        <v>22</v>
      </c>
      <c r="F13" s="4">
        <v>2</v>
      </c>
      <c r="G13" s="4">
        <v>16000</v>
      </c>
      <c r="H13" s="4">
        <f t="shared" si="0"/>
        <v>32000</v>
      </c>
      <c r="I13" s="8" t="str">
        <f t="shared" si="1"/>
        <v>Low</v>
      </c>
    </row>
    <row r="14" spans="1:16" ht="20.399999999999999" customHeight="1" x14ac:dyDescent="0.3">
      <c r="A14" s="4">
        <v>1013</v>
      </c>
      <c r="B14" s="5">
        <v>46061</v>
      </c>
      <c r="C14" s="4" t="s">
        <v>8</v>
      </c>
      <c r="D14" s="4" t="s">
        <v>16</v>
      </c>
      <c r="E14" s="4" t="s">
        <v>20</v>
      </c>
      <c r="F14" s="4">
        <v>3</v>
      </c>
      <c r="G14" s="4">
        <v>49000</v>
      </c>
      <c r="H14" s="4">
        <f t="shared" si="0"/>
        <v>147000</v>
      </c>
      <c r="I14" s="8" t="str">
        <f t="shared" si="1"/>
        <v>High</v>
      </c>
    </row>
    <row r="15" spans="1:16" ht="20.399999999999999" customHeight="1" x14ac:dyDescent="0.3">
      <c r="A15" s="4">
        <v>1014</v>
      </c>
      <c r="B15" s="5">
        <v>46061</v>
      </c>
      <c r="C15" s="4" t="s">
        <v>9</v>
      </c>
      <c r="D15" s="4" t="s">
        <v>17</v>
      </c>
      <c r="E15" s="4" t="s">
        <v>21</v>
      </c>
      <c r="F15" s="4">
        <v>2</v>
      </c>
      <c r="G15" s="4">
        <v>20500</v>
      </c>
      <c r="H15" s="4">
        <f t="shared" si="0"/>
        <v>41000</v>
      </c>
      <c r="I15" s="8" t="str">
        <f t="shared" si="1"/>
        <v>Low</v>
      </c>
      <c r="O15" t="s">
        <v>33</v>
      </c>
      <c r="P15">
        <f>SUMIFS(H2:H21,D2:D21,"Neha")</f>
        <v>0</v>
      </c>
    </row>
    <row r="16" spans="1:16" ht="20.399999999999999" customHeight="1" x14ac:dyDescent="0.3">
      <c r="A16" s="4">
        <v>1015</v>
      </c>
      <c r="B16" s="5">
        <v>46062</v>
      </c>
      <c r="C16" s="4" t="s">
        <v>10</v>
      </c>
      <c r="D16" s="4" t="s">
        <v>18</v>
      </c>
      <c r="E16" s="4" t="s">
        <v>22</v>
      </c>
      <c r="F16" s="4">
        <v>4</v>
      </c>
      <c r="G16" s="4">
        <v>15500</v>
      </c>
      <c r="H16" s="4">
        <f t="shared" si="0"/>
        <v>62000</v>
      </c>
      <c r="I16" s="8" t="str">
        <f t="shared" si="1"/>
        <v>Medium</v>
      </c>
      <c r="O16" t="s">
        <v>34</v>
      </c>
      <c r="P16">
        <f>SUMIFS(H2:H21,D2:D21,"Riya")</f>
        <v>321500</v>
      </c>
    </row>
    <row r="17" spans="1:16" ht="20.399999999999999" customHeight="1" x14ac:dyDescent="0.3">
      <c r="A17" s="4">
        <v>1016</v>
      </c>
      <c r="B17" s="5">
        <v>46062</v>
      </c>
      <c r="C17" s="4" t="s">
        <v>15</v>
      </c>
      <c r="D17" s="4" t="s">
        <v>19</v>
      </c>
      <c r="E17" s="4" t="s">
        <v>20</v>
      </c>
      <c r="F17" s="4">
        <v>2</v>
      </c>
      <c r="G17" s="4">
        <v>50000</v>
      </c>
      <c r="H17" s="4">
        <f t="shared" si="0"/>
        <v>100000</v>
      </c>
      <c r="I17" s="8" t="str">
        <f t="shared" si="1"/>
        <v>Medium</v>
      </c>
      <c r="O17" t="s">
        <v>35</v>
      </c>
      <c r="P17">
        <f>SUMIFS(H2:H21,D2:D21,"Karan ")</f>
        <v>341000</v>
      </c>
    </row>
    <row r="18" spans="1:16" ht="20.399999999999999" customHeight="1" x14ac:dyDescent="0.3">
      <c r="A18" s="4">
        <v>1017</v>
      </c>
      <c r="B18" s="5">
        <v>46063</v>
      </c>
      <c r="C18" s="4" t="s">
        <v>8</v>
      </c>
      <c r="D18" s="4" t="s">
        <v>16</v>
      </c>
      <c r="E18" s="4" t="s">
        <v>21</v>
      </c>
      <c r="F18" s="4">
        <v>6</v>
      </c>
      <c r="G18" s="4">
        <v>21000</v>
      </c>
      <c r="H18" s="4">
        <f t="shared" si="0"/>
        <v>126000</v>
      </c>
      <c r="I18" s="8" t="str">
        <f t="shared" si="1"/>
        <v>High</v>
      </c>
      <c r="O18" t="s">
        <v>36</v>
      </c>
      <c r="P18">
        <f>SUMIFS(H2:H21,D2:D21,"Aman ")</f>
        <v>522000</v>
      </c>
    </row>
    <row r="19" spans="1:16" ht="20.399999999999999" customHeight="1" x14ac:dyDescent="0.3">
      <c r="A19" s="4">
        <v>1018</v>
      </c>
      <c r="B19" s="5">
        <v>46063</v>
      </c>
      <c r="C19" s="4" t="s">
        <v>9</v>
      </c>
      <c r="D19" s="4" t="s">
        <v>17</v>
      </c>
      <c r="E19" s="4" t="s">
        <v>22</v>
      </c>
      <c r="F19" s="4">
        <v>3</v>
      </c>
      <c r="G19" s="4">
        <v>14500</v>
      </c>
      <c r="H19" s="4">
        <f t="shared" si="0"/>
        <v>43500</v>
      </c>
      <c r="I19" s="8" t="str">
        <f t="shared" si="1"/>
        <v>Low</v>
      </c>
    </row>
    <row r="20" spans="1:16" ht="20.399999999999999" customHeight="1" x14ac:dyDescent="0.3">
      <c r="A20" s="4">
        <v>1019</v>
      </c>
      <c r="B20" s="5">
        <v>46064</v>
      </c>
      <c r="C20" s="4" t="s">
        <v>10</v>
      </c>
      <c r="D20" s="4" t="s">
        <v>18</v>
      </c>
      <c r="E20" s="4" t="s">
        <v>20</v>
      </c>
      <c r="F20" s="4">
        <v>1</v>
      </c>
      <c r="G20" s="4">
        <v>54000</v>
      </c>
      <c r="H20" s="4">
        <f t="shared" si="0"/>
        <v>54000</v>
      </c>
      <c r="I20" s="8" t="str">
        <f t="shared" si="1"/>
        <v>Medium</v>
      </c>
    </row>
    <row r="21" spans="1:16" ht="20.399999999999999" customHeight="1" x14ac:dyDescent="0.3">
      <c r="A21" s="4">
        <v>1020</v>
      </c>
      <c r="B21" s="5">
        <v>46064</v>
      </c>
      <c r="C21" s="4" t="s">
        <v>15</v>
      </c>
      <c r="D21" s="4" t="s">
        <v>19</v>
      </c>
      <c r="E21" s="4" t="s">
        <v>21</v>
      </c>
      <c r="F21" s="4">
        <v>5</v>
      </c>
      <c r="G21" s="4">
        <v>21500</v>
      </c>
      <c r="H21" s="4">
        <f t="shared" si="0"/>
        <v>107500</v>
      </c>
      <c r="I21" s="8" t="str">
        <f t="shared" si="1"/>
        <v>High</v>
      </c>
    </row>
    <row r="22" spans="1:16" ht="20.399999999999999" customHeight="1" x14ac:dyDescent="0.3">
      <c r="A22" s="4"/>
      <c r="B22" s="4"/>
      <c r="C22" s="4"/>
      <c r="D22" s="4"/>
      <c r="E22" s="4"/>
      <c r="F22" s="6"/>
      <c r="G22" s="6" t="s">
        <v>23</v>
      </c>
      <c r="H22" s="4">
        <f>SUM(H2:H21)</f>
        <v>1542000</v>
      </c>
      <c r="I22" s="9"/>
    </row>
    <row r="23" spans="1:16" ht="20.399999999999999" customHeight="1" x14ac:dyDescent="0.3">
      <c r="A23" s="4"/>
      <c r="B23" s="4"/>
      <c r="C23" s="4"/>
      <c r="D23" s="4"/>
      <c r="E23" s="4"/>
      <c r="F23" s="6"/>
      <c r="G23" s="6" t="s">
        <v>24</v>
      </c>
      <c r="H23" s="4">
        <f>AVERAGE(H2:H21)</f>
        <v>77100</v>
      </c>
      <c r="I23" s="9"/>
    </row>
    <row r="24" spans="1:16" ht="20.399999999999999" customHeight="1" x14ac:dyDescent="0.3"/>
    <row r="25" spans="1:16" ht="20.399999999999999" customHeight="1" x14ac:dyDescent="0.3"/>
  </sheetData>
  <conditionalFormatting sqref="H2:H21">
    <cfRule type="top10" dxfId="4" priority="1" rank="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3C19B-714F-4AB9-94F5-8C17EE9F1085}">
  <dimension ref="A1:L23"/>
  <sheetViews>
    <sheetView zoomScale="71" zoomScaleNormal="71" workbookViewId="0">
      <selection activeCell="L31" sqref="L31"/>
    </sheetView>
  </sheetViews>
  <sheetFormatPr defaultRowHeight="14.4" x14ac:dyDescent="0.3"/>
  <cols>
    <col min="1" max="9" width="16" customWidth="1"/>
    <col min="10" max="11" width="12.5546875" bestFit="1" customWidth="1"/>
    <col min="12" max="12" width="16.88671875" bestFit="1" customWidth="1"/>
  </cols>
  <sheetData>
    <row r="1" spans="1:12" ht="15.6" x14ac:dyDescent="0.3">
      <c r="A1" s="3" t="s">
        <v>0</v>
      </c>
      <c r="B1" s="3" t="s">
        <v>1</v>
      </c>
      <c r="C1" s="3" t="s">
        <v>2</v>
      </c>
      <c r="D1" s="3" t="s">
        <v>3</v>
      </c>
      <c r="E1" s="3" t="s">
        <v>4</v>
      </c>
      <c r="F1" s="3" t="s">
        <v>5</v>
      </c>
      <c r="G1" s="3" t="s">
        <v>6</v>
      </c>
      <c r="H1" s="3" t="s">
        <v>7</v>
      </c>
    </row>
    <row r="2" spans="1:12" ht="15.6" x14ac:dyDescent="0.3">
      <c r="A2" s="4">
        <v>1001</v>
      </c>
      <c r="B2" s="5">
        <v>46054</v>
      </c>
      <c r="C2" s="4" t="s">
        <v>8</v>
      </c>
      <c r="D2" s="4" t="s">
        <v>16</v>
      </c>
      <c r="E2" s="4" t="s">
        <v>20</v>
      </c>
      <c r="F2" s="4">
        <v>2</v>
      </c>
      <c r="G2" s="4">
        <v>50000</v>
      </c>
      <c r="H2" s="4">
        <f>F2*G2</f>
        <v>100000</v>
      </c>
    </row>
    <row r="3" spans="1:12" ht="15.6" x14ac:dyDescent="0.3">
      <c r="A3" s="4">
        <v>1002</v>
      </c>
      <c r="B3" s="5">
        <v>46055</v>
      </c>
      <c r="C3" s="4" t="s">
        <v>9</v>
      </c>
      <c r="D3" s="4" t="s">
        <v>17</v>
      </c>
      <c r="E3" s="4" t="s">
        <v>21</v>
      </c>
      <c r="F3" s="4">
        <v>5</v>
      </c>
      <c r="G3" s="4">
        <v>20000</v>
      </c>
      <c r="H3" s="4">
        <f>F3*G3</f>
        <v>100000</v>
      </c>
      <c r="K3" s="1" t="s">
        <v>25</v>
      </c>
      <c r="L3" t="s">
        <v>27</v>
      </c>
    </row>
    <row r="4" spans="1:12" ht="15.6" x14ac:dyDescent="0.3">
      <c r="A4" s="4">
        <v>1003</v>
      </c>
      <c r="B4" s="5">
        <v>46055</v>
      </c>
      <c r="C4" s="4" t="s">
        <v>10</v>
      </c>
      <c r="D4" s="4" t="s">
        <v>18</v>
      </c>
      <c r="E4" s="4" t="s">
        <v>22</v>
      </c>
      <c r="F4" s="4">
        <v>3</v>
      </c>
      <c r="G4" s="4">
        <v>15000</v>
      </c>
      <c r="H4" s="4">
        <f t="shared" ref="H4:H21" si="0">F4*G4</f>
        <v>45000</v>
      </c>
      <c r="K4" s="2" t="s">
        <v>15</v>
      </c>
      <c r="L4">
        <v>100000</v>
      </c>
    </row>
    <row r="5" spans="1:12" ht="15.6" x14ac:dyDescent="0.3">
      <c r="A5" s="4">
        <v>1004</v>
      </c>
      <c r="B5" s="5">
        <v>46056</v>
      </c>
      <c r="C5" s="4" t="s">
        <v>11</v>
      </c>
      <c r="D5" s="4" t="s">
        <v>19</v>
      </c>
      <c r="E5" s="4" t="s">
        <v>20</v>
      </c>
      <c r="F5" s="4">
        <v>1</v>
      </c>
      <c r="G5" s="4">
        <v>52000</v>
      </c>
      <c r="H5" s="4">
        <f t="shared" si="0"/>
        <v>52000</v>
      </c>
      <c r="K5" s="2" t="s">
        <v>26</v>
      </c>
      <c r="L5">
        <v>100000</v>
      </c>
    </row>
    <row r="6" spans="1:12" ht="15.6" x14ac:dyDescent="0.3">
      <c r="A6" s="4">
        <v>1005</v>
      </c>
      <c r="B6" s="5">
        <v>46056</v>
      </c>
      <c r="C6" s="4" t="s">
        <v>12</v>
      </c>
      <c r="D6" s="4" t="s">
        <v>16</v>
      </c>
      <c r="E6" s="4" t="s">
        <v>21</v>
      </c>
      <c r="F6" s="4">
        <v>4</v>
      </c>
      <c r="G6" s="4">
        <v>21000</v>
      </c>
      <c r="H6" s="4">
        <f t="shared" si="0"/>
        <v>84000</v>
      </c>
    </row>
    <row r="7" spans="1:12" ht="15.6" x14ac:dyDescent="0.3">
      <c r="A7" s="4">
        <v>1006</v>
      </c>
      <c r="B7" s="5">
        <v>46057</v>
      </c>
      <c r="C7" s="4" t="s">
        <v>13</v>
      </c>
      <c r="D7" s="4" t="s">
        <v>17</v>
      </c>
      <c r="E7" s="4" t="s">
        <v>22</v>
      </c>
      <c r="F7" s="4">
        <v>6</v>
      </c>
      <c r="G7" s="4">
        <v>14000</v>
      </c>
      <c r="H7" s="4">
        <f t="shared" si="0"/>
        <v>84000</v>
      </c>
    </row>
    <row r="8" spans="1:12" ht="15.6" x14ac:dyDescent="0.3">
      <c r="A8" s="4">
        <v>1007</v>
      </c>
      <c r="B8" s="5">
        <v>46058</v>
      </c>
      <c r="C8" s="4" t="s">
        <v>14</v>
      </c>
      <c r="D8" s="4" t="s">
        <v>18</v>
      </c>
      <c r="E8" s="4" t="s">
        <v>20</v>
      </c>
      <c r="F8" s="4">
        <v>2</v>
      </c>
      <c r="G8" s="4">
        <v>51000</v>
      </c>
      <c r="H8" s="4">
        <f t="shared" si="0"/>
        <v>102000</v>
      </c>
    </row>
    <row r="9" spans="1:12" ht="15.6" x14ac:dyDescent="0.3">
      <c r="A9" s="4">
        <v>1008</v>
      </c>
      <c r="B9" s="5">
        <v>46058</v>
      </c>
      <c r="C9" s="4" t="s">
        <v>11</v>
      </c>
      <c r="D9" s="4" t="s">
        <v>19</v>
      </c>
      <c r="E9" s="4" t="s">
        <v>21</v>
      </c>
      <c r="F9" s="4">
        <v>3</v>
      </c>
      <c r="G9" s="4">
        <v>22000</v>
      </c>
      <c r="H9" s="4">
        <f t="shared" si="0"/>
        <v>66000</v>
      </c>
    </row>
    <row r="10" spans="1:12" ht="15.6" x14ac:dyDescent="0.3">
      <c r="A10" s="4">
        <v>1009</v>
      </c>
      <c r="B10" s="5">
        <v>46059</v>
      </c>
      <c r="C10" s="4" t="s">
        <v>12</v>
      </c>
      <c r="D10" s="4" t="s">
        <v>16</v>
      </c>
      <c r="E10" s="4" t="s">
        <v>22</v>
      </c>
      <c r="F10" s="4">
        <v>5</v>
      </c>
      <c r="G10" s="4">
        <v>13000</v>
      </c>
      <c r="H10" s="4">
        <f t="shared" si="0"/>
        <v>65000</v>
      </c>
    </row>
    <row r="11" spans="1:12" ht="15.6" x14ac:dyDescent="0.3">
      <c r="A11" s="4">
        <v>1010</v>
      </c>
      <c r="B11" s="5">
        <v>46059</v>
      </c>
      <c r="C11" s="4" t="s">
        <v>9</v>
      </c>
      <c r="D11" s="4" t="s">
        <v>17</v>
      </c>
      <c r="E11" s="4" t="s">
        <v>20</v>
      </c>
      <c r="F11" s="4">
        <v>1</v>
      </c>
      <c r="G11" s="4">
        <v>53000</v>
      </c>
      <c r="H11" s="4">
        <f t="shared" si="0"/>
        <v>53000</v>
      </c>
    </row>
    <row r="12" spans="1:12" ht="15.6" x14ac:dyDescent="0.3">
      <c r="A12" s="4">
        <v>1011</v>
      </c>
      <c r="B12" s="5">
        <v>46060</v>
      </c>
      <c r="C12" s="4" t="s">
        <v>10</v>
      </c>
      <c r="D12" s="4" t="s">
        <v>18</v>
      </c>
      <c r="E12" s="4" t="s">
        <v>21</v>
      </c>
      <c r="F12" s="4">
        <v>4</v>
      </c>
      <c r="G12" s="4">
        <v>19500</v>
      </c>
      <c r="H12" s="4">
        <f t="shared" si="0"/>
        <v>78000</v>
      </c>
    </row>
    <row r="13" spans="1:12" ht="15.6" x14ac:dyDescent="0.3">
      <c r="A13" s="4">
        <v>1012</v>
      </c>
      <c r="B13" s="5">
        <v>46060</v>
      </c>
      <c r="C13" s="4" t="s">
        <v>11</v>
      </c>
      <c r="D13" s="4" t="s">
        <v>19</v>
      </c>
      <c r="E13" s="4" t="s">
        <v>22</v>
      </c>
      <c r="F13" s="4">
        <v>2</v>
      </c>
      <c r="G13" s="4">
        <v>16000</v>
      </c>
      <c r="H13" s="4">
        <f t="shared" si="0"/>
        <v>32000</v>
      </c>
    </row>
    <row r="14" spans="1:12" ht="15.6" x14ac:dyDescent="0.3">
      <c r="A14" s="4">
        <v>1013</v>
      </c>
      <c r="B14" s="5">
        <v>46061</v>
      </c>
      <c r="C14" s="4" t="s">
        <v>8</v>
      </c>
      <c r="D14" s="4" t="s">
        <v>16</v>
      </c>
      <c r="E14" s="4" t="s">
        <v>20</v>
      </c>
      <c r="F14" s="4">
        <v>3</v>
      </c>
      <c r="G14" s="4">
        <v>49000</v>
      </c>
      <c r="H14" s="4">
        <f t="shared" si="0"/>
        <v>147000</v>
      </c>
    </row>
    <row r="15" spans="1:12" ht="15.6" x14ac:dyDescent="0.3">
      <c r="A15" s="4">
        <v>1014</v>
      </c>
      <c r="B15" s="5">
        <v>46061</v>
      </c>
      <c r="C15" s="4" t="s">
        <v>9</v>
      </c>
      <c r="D15" s="4" t="s">
        <v>17</v>
      </c>
      <c r="E15" s="4" t="s">
        <v>21</v>
      </c>
      <c r="F15" s="4">
        <v>2</v>
      </c>
      <c r="G15" s="4">
        <v>20500</v>
      </c>
      <c r="H15" s="4">
        <f t="shared" si="0"/>
        <v>41000</v>
      </c>
    </row>
    <row r="16" spans="1:12" ht="15.6" x14ac:dyDescent="0.3">
      <c r="A16" s="4">
        <v>1015</v>
      </c>
      <c r="B16" s="5">
        <v>46062</v>
      </c>
      <c r="C16" s="4" t="s">
        <v>10</v>
      </c>
      <c r="D16" s="4" t="s">
        <v>18</v>
      </c>
      <c r="E16" s="4" t="s">
        <v>22</v>
      </c>
      <c r="F16" s="4">
        <v>4</v>
      </c>
      <c r="G16" s="4">
        <v>15500</v>
      </c>
      <c r="H16" s="4">
        <f t="shared" si="0"/>
        <v>62000</v>
      </c>
    </row>
    <row r="17" spans="1:8" ht="15.6" x14ac:dyDescent="0.3">
      <c r="A17" s="4">
        <v>1016</v>
      </c>
      <c r="B17" s="5">
        <v>46062</v>
      </c>
      <c r="C17" s="4" t="s">
        <v>15</v>
      </c>
      <c r="D17" s="4" t="s">
        <v>19</v>
      </c>
      <c r="E17" s="4" t="s">
        <v>20</v>
      </c>
      <c r="F17" s="4">
        <v>2</v>
      </c>
      <c r="G17" s="4">
        <v>50000</v>
      </c>
      <c r="H17" s="4">
        <f t="shared" si="0"/>
        <v>100000</v>
      </c>
    </row>
    <row r="18" spans="1:8" ht="15.6" x14ac:dyDescent="0.3">
      <c r="A18" s="4">
        <v>1017</v>
      </c>
      <c r="B18" s="5">
        <v>46063</v>
      </c>
      <c r="C18" s="4" t="s">
        <v>8</v>
      </c>
      <c r="D18" s="4" t="s">
        <v>16</v>
      </c>
      <c r="E18" s="4" t="s">
        <v>21</v>
      </c>
      <c r="F18" s="4">
        <v>6</v>
      </c>
      <c r="G18" s="4">
        <v>21000</v>
      </c>
      <c r="H18" s="4">
        <f t="shared" si="0"/>
        <v>126000</v>
      </c>
    </row>
    <row r="19" spans="1:8" ht="15.6" x14ac:dyDescent="0.3">
      <c r="A19" s="4">
        <v>1018</v>
      </c>
      <c r="B19" s="5">
        <v>46063</v>
      </c>
      <c r="C19" s="4" t="s">
        <v>9</v>
      </c>
      <c r="D19" s="4" t="s">
        <v>17</v>
      </c>
      <c r="E19" s="4" t="s">
        <v>22</v>
      </c>
      <c r="F19" s="4">
        <v>3</v>
      </c>
      <c r="G19" s="4">
        <v>14500</v>
      </c>
      <c r="H19" s="4">
        <f t="shared" si="0"/>
        <v>43500</v>
      </c>
    </row>
    <row r="20" spans="1:8" ht="15.6" x14ac:dyDescent="0.3">
      <c r="A20" s="4">
        <v>1019</v>
      </c>
      <c r="B20" s="5">
        <v>46064</v>
      </c>
      <c r="C20" s="4" t="s">
        <v>10</v>
      </c>
      <c r="D20" s="4" t="s">
        <v>18</v>
      </c>
      <c r="E20" s="4" t="s">
        <v>20</v>
      </c>
      <c r="F20" s="4">
        <v>1</v>
      </c>
      <c r="G20" s="4">
        <v>54000</v>
      </c>
      <c r="H20" s="4">
        <f t="shared" si="0"/>
        <v>54000</v>
      </c>
    </row>
    <row r="21" spans="1:8" ht="15.6" x14ac:dyDescent="0.3">
      <c r="A21" s="4">
        <v>1020</v>
      </c>
      <c r="B21" s="5">
        <v>46064</v>
      </c>
      <c r="C21" s="4" t="s">
        <v>15</v>
      </c>
      <c r="D21" s="4" t="s">
        <v>19</v>
      </c>
      <c r="E21" s="4" t="s">
        <v>21</v>
      </c>
      <c r="F21" s="4">
        <v>5</v>
      </c>
      <c r="G21" s="4">
        <v>21500</v>
      </c>
      <c r="H21" s="4">
        <f t="shared" si="0"/>
        <v>107500</v>
      </c>
    </row>
    <row r="22" spans="1:8" ht="15.6" x14ac:dyDescent="0.3">
      <c r="A22" s="4"/>
      <c r="B22" s="4"/>
      <c r="C22" s="4"/>
      <c r="D22" s="4"/>
      <c r="E22" s="4"/>
      <c r="F22" s="6"/>
      <c r="G22" s="6" t="s">
        <v>23</v>
      </c>
      <c r="H22" s="4">
        <f>SUM(H2:H21)</f>
        <v>1542000</v>
      </c>
    </row>
    <row r="23" spans="1:8" ht="15.6" x14ac:dyDescent="0.3">
      <c r="A23" s="4"/>
      <c r="B23" s="4"/>
      <c r="C23" s="4"/>
      <c r="D23" s="4"/>
      <c r="E23" s="4"/>
      <c r="F23" s="6"/>
      <c r="G23" s="6" t="s">
        <v>24</v>
      </c>
      <c r="H23" s="4">
        <f>AVERAGE(H2:H21)</f>
        <v>77100</v>
      </c>
    </row>
  </sheetData>
  <conditionalFormatting sqref="H2:H21">
    <cfRule type="top10" dxfId="3" priority="1" rank="1"/>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29FE8-8F02-4CBF-92E6-FF2BF2EBE4F1}">
  <dimension ref="A1:L17"/>
  <sheetViews>
    <sheetView zoomScale="71" zoomScaleNormal="71" workbookViewId="0">
      <selection activeCell="K32" sqref="K32"/>
    </sheetView>
  </sheetViews>
  <sheetFormatPr defaultRowHeight="14.4" x14ac:dyDescent="0.3"/>
  <cols>
    <col min="1" max="4" width="16.21875" customWidth="1"/>
    <col min="5" max="5" width="19.6640625" customWidth="1"/>
    <col min="6" max="15" width="16.21875" customWidth="1"/>
  </cols>
  <sheetData>
    <row r="1" spans="1:12" ht="21.6" customHeight="1" x14ac:dyDescent="0.3">
      <c r="A1" s="10" t="s">
        <v>7</v>
      </c>
      <c r="B1" s="10" t="s">
        <v>29</v>
      </c>
      <c r="C1" s="10" t="s">
        <v>30</v>
      </c>
      <c r="D1" s="10" t="s">
        <v>31</v>
      </c>
      <c r="E1" s="10" t="s">
        <v>32</v>
      </c>
    </row>
    <row r="2" spans="1:12" ht="21.6" customHeight="1" x14ac:dyDescent="0.3">
      <c r="A2" s="4">
        <f>SUM('sales_data '!H2:H21)</f>
        <v>1542000</v>
      </c>
      <c r="B2" s="4">
        <f>COUNT('sales_data '!H2:H21)</f>
        <v>20</v>
      </c>
      <c r="C2" s="4">
        <f>SUMIFS('sales_data '!H2:H21,'sales_data '!C2:C21,"North")</f>
        <v>373000</v>
      </c>
      <c r="D2" s="4">
        <f>SUMIFS('sales_data '!H2:H21,'sales_data '!D2:D21,"Neha ")</f>
        <v>357500</v>
      </c>
      <c r="E2" s="4">
        <v>608000</v>
      </c>
      <c r="J2" t="s">
        <v>47</v>
      </c>
      <c r="K2" t="s">
        <v>48</v>
      </c>
      <c r="L2" t="s">
        <v>49</v>
      </c>
    </row>
    <row r="3" spans="1:12" ht="21.6" customHeight="1" x14ac:dyDescent="0.3">
      <c r="A3" s="4"/>
      <c r="B3" s="4"/>
      <c r="C3" s="4">
        <f>SUMIFS('sales_data '!H2:H21,'sales_data '!C2:C21,"South")</f>
        <v>237500</v>
      </c>
      <c r="D3" s="4">
        <v>321500</v>
      </c>
      <c r="E3" s="4">
        <v>602500</v>
      </c>
      <c r="G3" t="str">
        <f ca="1">"Sales Dashboard-"&amp;TODAY()</f>
        <v>Sales Dashboard-46111</v>
      </c>
      <c r="J3" t="s">
        <v>50</v>
      </c>
      <c r="K3" t="s">
        <v>51</v>
      </c>
    </row>
    <row r="4" spans="1:12" ht="21.6" customHeight="1" x14ac:dyDescent="0.3">
      <c r="A4" s="4"/>
      <c r="B4" s="4"/>
      <c r="C4" s="4">
        <f>SUMIFS('sales_data '!H2:H21,'sales_data '!C2:C21,"West")</f>
        <v>150000</v>
      </c>
      <c r="D4" s="4">
        <v>341000</v>
      </c>
      <c r="E4" s="4">
        <v>331500</v>
      </c>
    </row>
    <row r="5" spans="1:12" ht="21.6" customHeight="1" x14ac:dyDescent="0.3">
      <c r="A5" s="4"/>
      <c r="B5" s="4"/>
      <c r="C5" s="4">
        <f>SUMIFS('sales_data '!H2:H21,'sales_data '!C2:C21,"East")</f>
        <v>239000</v>
      </c>
      <c r="D5" s="4">
        <v>522000</v>
      </c>
      <c r="E5" s="4"/>
    </row>
    <row r="6" spans="1:12" ht="21.6" customHeight="1" x14ac:dyDescent="0.3">
      <c r="A6" s="4"/>
      <c r="B6" s="4"/>
      <c r="C6" s="4" t="s">
        <v>41</v>
      </c>
      <c r="D6" s="4" t="s">
        <v>43</v>
      </c>
      <c r="E6" s="4" t="s">
        <v>45</v>
      </c>
    </row>
    <row r="7" spans="1:12" ht="21.6" customHeight="1" x14ac:dyDescent="0.3">
      <c r="A7" s="4"/>
      <c r="B7" s="4"/>
      <c r="C7" s="4" t="s">
        <v>42</v>
      </c>
      <c r="D7" s="4" t="s">
        <v>44</v>
      </c>
      <c r="E7" s="4" t="s">
        <v>46</v>
      </c>
    </row>
    <row r="8" spans="1:12" ht="21.6" customHeight="1" x14ac:dyDescent="0.3"/>
    <row r="9" spans="1:12" ht="21.6" customHeight="1" x14ac:dyDescent="0.3"/>
    <row r="10" spans="1:12" ht="21.6" customHeight="1" x14ac:dyDescent="0.3"/>
    <row r="11" spans="1:12" ht="21.6" customHeight="1" x14ac:dyDescent="0.3"/>
    <row r="12" spans="1:12" ht="21.6" customHeight="1" x14ac:dyDescent="0.3"/>
    <row r="13" spans="1:12" ht="21.6" customHeight="1" x14ac:dyDescent="0.3"/>
    <row r="14" spans="1:12" ht="21.6" customHeight="1" x14ac:dyDescent="0.3"/>
    <row r="15" spans="1:12" ht="21.6" customHeight="1" x14ac:dyDescent="0.3"/>
    <row r="16" spans="1:12" ht="21.6" customHeight="1" x14ac:dyDescent="0.3"/>
    <row r="17" ht="21.6" customHeight="1" x14ac:dyDescent="0.3"/>
  </sheetData>
  <conditionalFormatting sqref="C2:C5">
    <cfRule type="top10" dxfId="2" priority="3" rank="1"/>
  </conditionalFormatting>
  <conditionalFormatting sqref="D2:D5">
    <cfRule type="top10" dxfId="1" priority="2" rank="1"/>
  </conditionalFormatting>
  <conditionalFormatting sqref="E2:E4">
    <cfRule type="top10" dxfId="0" priority="1" rank="1"/>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pivot3</vt:lpstr>
      <vt:lpstr>pivot 2</vt:lpstr>
      <vt:lpstr>sales_data </vt:lpstr>
      <vt:lpstr>Sales Dashboard </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goyal</dc:creator>
  <cp:lastModifiedBy>Rohan goyal</cp:lastModifiedBy>
  <dcterms:created xsi:type="dcterms:W3CDTF">2026-02-13T11:17:57Z</dcterms:created>
  <dcterms:modified xsi:type="dcterms:W3CDTF">2026-03-30T09:18:19Z</dcterms:modified>
</cp:coreProperties>
</file>